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ri 1" sheetId="1" r:id="rId5"/>
    <sheet state="visible" name="Juri 2" sheetId="2" r:id="rId6"/>
    <sheet state="visible" name="Juri 3" sheetId="3" r:id="rId7"/>
    <sheet state="visible" name="Perhitungan ARAS" sheetId="4" r:id="rId8"/>
  </sheets>
  <definedNames/>
  <calcPr/>
</workbook>
</file>

<file path=xl/sharedStrings.xml><?xml version="1.0" encoding="utf-8"?>
<sst xmlns="http://schemas.openxmlformats.org/spreadsheetml/2006/main" count="1138" uniqueCount="164">
  <si>
    <t>RUBRIK PENILAIAN WAWANCARA DUTA PNJ BATCH 5</t>
  </si>
  <si>
    <t>NAMA JURI: Juri 1</t>
  </si>
  <si>
    <t>No</t>
  </si>
  <si>
    <t>NAMA PESERTA</t>
  </si>
  <si>
    <t>JENIS KELAMIN</t>
  </si>
  <si>
    <t>JURUSAN</t>
  </si>
  <si>
    <t>ANGKATAN</t>
  </si>
  <si>
    <t>Ekspresi, Etika, Kepercayaan Diri</t>
  </si>
  <si>
    <t>Berpikir Kritis, Kreatif, Inisiatif,</t>
  </si>
  <si>
    <t>Komitmen Terhadap Duta dan Institusi</t>
  </si>
  <si>
    <t>Kemampuan Komunikasi, Argumentasi</t>
  </si>
  <si>
    <t>Personaliti Kepemimpinan &amp; Keteraturan</t>
  </si>
  <si>
    <t>Manajemen Emosi</t>
  </si>
  <si>
    <t>Sikap Kooperatif</t>
  </si>
  <si>
    <t>Penilaian Diri dan Tujuan Pribadi</t>
  </si>
  <si>
    <t>Rekomendasi Lolos Seleksi Wawancara (%)</t>
  </si>
  <si>
    <t>Saran dan Perbaikan</t>
  </si>
  <si>
    <t>Aditya Pratama</t>
  </si>
  <si>
    <t>Laki-laki</t>
  </si>
  <si>
    <t>Administrasi Niaga</t>
  </si>
  <si>
    <t>Budi Santoso</t>
  </si>
  <si>
    <t>Teknik Grafika dan Penerbitan</t>
  </si>
  <si>
    <t>Citra Lestari</t>
  </si>
  <si>
    <t>Perempuan</t>
  </si>
  <si>
    <t>Teknik Sipil</t>
  </si>
  <si>
    <t>Dwi Anggraini</t>
  </si>
  <si>
    <t>Akutansi</t>
  </si>
  <si>
    <t>Eka Saputra</t>
  </si>
  <si>
    <t>Fajar Ramadhan</t>
  </si>
  <si>
    <t>Teknik Mesin</t>
  </si>
  <si>
    <t>Gita Permata</t>
  </si>
  <si>
    <t>Teknik Informatika dan Komputer</t>
  </si>
  <si>
    <t>Hendra Wijaya</t>
  </si>
  <si>
    <t>Indah Puspitasari</t>
  </si>
  <si>
    <t>Joko Hartono</t>
  </si>
  <si>
    <t>Kartika Sari</t>
  </si>
  <si>
    <t>Laila Fitriani</t>
  </si>
  <si>
    <t>Muhammad Rizky</t>
  </si>
  <si>
    <t>Teknik Elektro</t>
  </si>
  <si>
    <t>Nadia Azzahra</t>
  </si>
  <si>
    <t>Oktavian Putra</t>
  </si>
  <si>
    <t>Putri Maharani</t>
  </si>
  <si>
    <t>Raka Firmansyah</t>
  </si>
  <si>
    <t>Salsabila Nuraini</t>
  </si>
  <si>
    <t>Taufik Hidayat</t>
  </si>
  <si>
    <t>Vina Oktaviani</t>
  </si>
  <si>
    <t>Wahyu Setiawan</t>
  </si>
  <si>
    <t>Yuni Kartini</t>
  </si>
  <si>
    <t>Ahmad Fauzi</t>
  </si>
  <si>
    <t>Bella Amalia</t>
  </si>
  <si>
    <t>Dimas Arya</t>
  </si>
  <si>
    <t>Farah Nabila</t>
  </si>
  <si>
    <t>Galih Prakoso</t>
  </si>
  <si>
    <t>Hanif Maulana</t>
  </si>
  <si>
    <t>Intan Safitri</t>
  </si>
  <si>
    <t>Kevin Adinata</t>
  </si>
  <si>
    <t>Lina Marlina</t>
  </si>
  <si>
    <t>Maya Wulandari</t>
  </si>
  <si>
    <t>Naufal Hakim</t>
  </si>
  <si>
    <t>Olivia Rahma</t>
  </si>
  <si>
    <t>Prasetyo Nugroho</t>
  </si>
  <si>
    <t>Rani Aprilianti</t>
  </si>
  <si>
    <t>Sandi Kurniawan</t>
  </si>
  <si>
    <t>Tania Ayuningtyas</t>
  </si>
  <si>
    <t>Umar Alfarizi</t>
  </si>
  <si>
    <t>Wulan Pertiwi</t>
  </si>
  <si>
    <t>Yusuf Ardiansyah</t>
  </si>
  <si>
    <t>Zahra Khairunnisa</t>
  </si>
  <si>
    <t>Agus Hermawan</t>
  </si>
  <si>
    <t>Dewi Kusuma</t>
  </si>
  <si>
    <t>Irfan Maulana</t>
  </si>
  <si>
    <t>Melati Anjani</t>
  </si>
  <si>
    <t>Reza Mahendra</t>
  </si>
  <si>
    <t>Sri Wahyuni</t>
  </si>
  <si>
    <t>Teguh Prabowo</t>
  </si>
  <si>
    <t>Anisa Rahmawati</t>
  </si>
  <si>
    <t>BOBOT</t>
  </si>
  <si>
    <t>NAMA JURI: Juri 2</t>
  </si>
  <si>
    <t>Opening &amp; Public Speaking</t>
  </si>
  <si>
    <t>Wawasan &amp; Keilmuan</t>
  </si>
  <si>
    <t>Kemampuan Berbahasa inggris</t>
  </si>
  <si>
    <t>Personaliti Kepemimpinan</t>
  </si>
  <si>
    <t>NAMA JURI: Juri 3</t>
  </si>
  <si>
    <t>Body Language</t>
  </si>
  <si>
    <t>Kreativitas dan Invoasi</t>
  </si>
  <si>
    <t>Grooming &amp; Look</t>
  </si>
  <si>
    <t>A0</t>
  </si>
  <si>
    <t>ANONIM</t>
  </si>
  <si>
    <t>TOTAL</t>
  </si>
  <si>
    <t>Kriteria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</si>
  <si>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</si>
  <si>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</si>
  <si>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</si>
  <si>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</si>
  <si>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</si>
  <si>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</si>
  <si>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</si>
  <si>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</si>
  <si>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</si>
  <si>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</si>
  <si>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</si>
  <si>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</si>
  <si>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</si>
  <si>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</si>
  <si>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</si>
  <si>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</si>
  <si>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Bobot (%)</t>
  </si>
  <si>
    <t>Bobot (Desimal)</t>
  </si>
  <si>
    <t>Si</t>
  </si>
  <si>
    <t>Ki</t>
  </si>
  <si>
    <t>Alternatif</t>
  </si>
  <si>
    <t>Total Nilai Terbobot (Si​)</t>
  </si>
  <si>
    <t>Tingkat Utilitas (Ki​)</t>
  </si>
  <si>
    <t>Ranking Akhir</t>
  </si>
  <si>
    <t>A0 (Optimum Target)</t>
  </si>
  <si>
    <t>-</t>
  </si>
  <si>
    <t>A3</t>
  </si>
  <si>
    <t>A26</t>
  </si>
  <si>
    <t>A11</t>
  </si>
  <si>
    <t>A10</t>
  </si>
  <si>
    <t>A40</t>
  </si>
  <si>
    <t>A48</t>
  </si>
  <si>
    <t>A35</t>
  </si>
  <si>
    <t>A21</t>
  </si>
  <si>
    <t>A7</t>
  </si>
  <si>
    <t>A34</t>
  </si>
  <si>
    <t>A23</t>
  </si>
  <si>
    <t>A4</t>
  </si>
  <si>
    <t>A20</t>
  </si>
  <si>
    <t>A39</t>
  </si>
  <si>
    <t>A24</t>
  </si>
  <si>
    <t>A41</t>
  </si>
  <si>
    <t>A14</t>
  </si>
  <si>
    <t>A5</t>
  </si>
  <si>
    <t>A43</t>
  </si>
  <si>
    <t>A25</t>
  </si>
  <si>
    <t>A47</t>
  </si>
  <si>
    <t>A36</t>
  </si>
  <si>
    <t>A44</t>
  </si>
  <si>
    <t>A46</t>
  </si>
  <si>
    <t>A17</t>
  </si>
  <si>
    <t>A27</t>
  </si>
  <si>
    <t>A16</t>
  </si>
  <si>
    <t>A12</t>
  </si>
  <si>
    <t>A29</t>
  </si>
  <si>
    <t>A6</t>
  </si>
  <si>
    <t>A1</t>
  </si>
  <si>
    <t>A19</t>
  </si>
  <si>
    <t>A33</t>
  </si>
  <si>
    <t>A45</t>
  </si>
  <si>
    <t>A38</t>
  </si>
  <si>
    <t>A18</t>
  </si>
  <si>
    <t>A37</t>
  </si>
  <si>
    <t>A49</t>
  </si>
  <si>
    <t>A22</t>
  </si>
  <si>
    <t>A32</t>
  </si>
  <si>
    <t>A30</t>
  </si>
  <si>
    <t>A8</t>
  </si>
  <si>
    <t>A9</t>
  </si>
  <si>
    <t>A15</t>
  </si>
  <si>
    <t>A2</t>
  </si>
  <si>
    <t>A31</t>
  </si>
  <si>
    <t>A13</t>
  </si>
  <si>
    <t>A28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</si>
</sst>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Times New Roman"/>
    </font>
    <font>
      <sz val="13.0"/>
      <color theme="1"/>
      <name val="Times New Roman"/>
    </font>
    <font>
      <sz val="12.0"/>
      <color theme="1"/>
      <name val="Times New Roman"/>
    </font>
    <font/>
    <font>
      <color theme="1"/>
      <name val="Arial"/>
      <scheme val="minor"/>
    </font>
    <font>
      <sz val="14.0"/>
      <color theme="1"/>
      <name val="Times New Roman"/>
    </font>
    <font>
      <b/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7CAAC"/>
        <bgColor rgb="FFF7CAA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readingOrder="0" vertical="bottom"/>
    </xf>
    <xf borderId="9" fillId="0" fontId="5" numFmtId="0" xfId="0" applyBorder="1" applyFont="1"/>
    <xf borderId="2" fillId="0" fontId="5" numFmtId="0" xfId="0" applyBorder="1" applyFont="1"/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0" fillId="0" fontId="6" numFmtId="0" xfId="0" applyFont="1"/>
    <xf borderId="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right" vertical="center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5" fontId="7" numFmtId="0" xfId="0" applyAlignment="1" applyBorder="1" applyFill="1" applyFont="1">
      <alignment horizontal="center" vertical="bottom"/>
    </xf>
    <xf borderId="8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  <col customWidth="1" min="4" max="4" width="33.0"/>
    <col customWidth="1" min="5" max="5" width="19.38"/>
    <col customWidth="1" min="6" max="6" width="36.25"/>
    <col customWidth="1" min="7" max="7" width="15.88"/>
    <col customWidth="1" min="8" max="8" width="26.88"/>
    <col customWidth="1" min="9" max="9" width="23.0"/>
    <col customWidth="1" min="10" max="11" width="21.88"/>
    <col customWidth="1" min="12" max="12" width="22.5"/>
    <col customWidth="1" min="13" max="13" width="22.0"/>
    <col customWidth="1" min="14" max="14" width="24.88"/>
    <col customWidth="1" min="15" max="15" width="26.88"/>
    <col customWidth="1" min="16" max="16" width="30.0"/>
    <col customWidth="1" min="17" max="17" width="23.63"/>
  </cols>
  <sheetData>
    <row r="7">
      <c r="C7" s="1"/>
      <c r="D7" s="1"/>
      <c r="E7" s="1"/>
      <c r="F7" s="1"/>
      <c r="G7" s="1"/>
      <c r="H7" s="1"/>
      <c r="I7" s="1"/>
      <c r="J7" s="2" t="s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C8" s="1"/>
      <c r="D8" s="3" t="s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C9" s="4" t="s">
        <v>2</v>
      </c>
      <c r="D9" s="5" t="s">
        <v>3</v>
      </c>
      <c r="E9" s="6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8" t="s">
        <v>11</v>
      </c>
      <c r="M9" s="8" t="s">
        <v>12</v>
      </c>
      <c r="N9" s="8" t="s">
        <v>13</v>
      </c>
      <c r="O9" s="8" t="s">
        <v>14</v>
      </c>
      <c r="P9" s="9" t="s">
        <v>15</v>
      </c>
      <c r="Q9" s="10" t="s">
        <v>16</v>
      </c>
      <c r="R9" s="1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C10" s="4">
        <v>1.0</v>
      </c>
      <c r="D10" s="12" t="s">
        <v>17</v>
      </c>
      <c r="E10" s="13" t="s">
        <v>18</v>
      </c>
      <c r="F10" s="14" t="s">
        <v>19</v>
      </c>
      <c r="G10" s="4">
        <v>2024.0</v>
      </c>
      <c r="H10" s="15">
        <v>85.0</v>
      </c>
      <c r="I10" s="15">
        <v>90.0</v>
      </c>
      <c r="J10" s="15">
        <v>85.0</v>
      </c>
      <c r="K10" s="15">
        <v>80.0</v>
      </c>
      <c r="L10" s="15">
        <v>80.0</v>
      </c>
      <c r="M10" s="15">
        <v>74.0</v>
      </c>
      <c r="N10" s="15">
        <v>80.0</v>
      </c>
      <c r="O10" s="15">
        <v>90.0</v>
      </c>
      <c r="P10" s="15">
        <v>83.0</v>
      </c>
      <c r="Q10" s="16"/>
      <c r="R10" s="1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C11" s="4">
        <v>2.0</v>
      </c>
      <c r="D11" s="12" t="s">
        <v>20</v>
      </c>
      <c r="E11" s="4" t="s">
        <v>18</v>
      </c>
      <c r="F11" s="14" t="s">
        <v>21</v>
      </c>
      <c r="G11" s="4">
        <v>2024.0</v>
      </c>
      <c r="H11" s="15">
        <v>80.0</v>
      </c>
      <c r="I11" s="15">
        <v>87.0</v>
      </c>
      <c r="J11" s="15">
        <v>82.0</v>
      </c>
      <c r="K11" s="15">
        <v>85.0</v>
      </c>
      <c r="L11" s="15">
        <v>80.0</v>
      </c>
      <c r="M11" s="15">
        <v>82.0</v>
      </c>
      <c r="N11" s="15">
        <v>80.0</v>
      </c>
      <c r="O11" s="15">
        <v>80.0</v>
      </c>
      <c r="P11" s="15">
        <v>82.0</v>
      </c>
      <c r="Q11" s="16"/>
      <c r="R11" s="1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C12" s="4">
        <v>3.0</v>
      </c>
      <c r="D12" s="12" t="s">
        <v>22</v>
      </c>
      <c r="E12" s="4" t="s">
        <v>23</v>
      </c>
      <c r="F12" s="14" t="s">
        <v>24</v>
      </c>
      <c r="G12" s="4">
        <v>2023.0</v>
      </c>
      <c r="H12" s="15">
        <v>85.0</v>
      </c>
      <c r="I12" s="15">
        <v>85.0</v>
      </c>
      <c r="J12" s="15">
        <v>90.0</v>
      </c>
      <c r="K12" s="15">
        <v>85.0</v>
      </c>
      <c r="L12" s="15">
        <v>85.0</v>
      </c>
      <c r="M12" s="15">
        <v>80.0</v>
      </c>
      <c r="N12" s="15">
        <v>85.0</v>
      </c>
      <c r="O12" s="15">
        <v>80.0</v>
      </c>
      <c r="P12" s="15">
        <v>84.375</v>
      </c>
      <c r="Q12" s="16"/>
      <c r="R12" s="1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C13" s="4">
        <v>4.0</v>
      </c>
      <c r="D13" s="12" t="s">
        <v>25</v>
      </c>
      <c r="E13" s="4" t="s">
        <v>23</v>
      </c>
      <c r="F13" s="14" t="s">
        <v>26</v>
      </c>
      <c r="G13" s="4">
        <v>2024.0</v>
      </c>
      <c r="H13" s="15">
        <v>80.0</v>
      </c>
      <c r="I13" s="15">
        <v>83.0</v>
      </c>
      <c r="J13" s="15">
        <v>85.0</v>
      </c>
      <c r="K13" s="15">
        <v>90.0</v>
      </c>
      <c r="L13" s="15">
        <v>75.0</v>
      </c>
      <c r="M13" s="15">
        <v>77.0</v>
      </c>
      <c r="N13" s="15">
        <v>86.0</v>
      </c>
      <c r="O13" s="15">
        <v>80.0</v>
      </c>
      <c r="P13" s="15">
        <v>82.0</v>
      </c>
      <c r="Q13" s="16"/>
      <c r="R13" s="1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C14" s="4">
        <v>5.0</v>
      </c>
      <c r="D14" s="12" t="s">
        <v>27</v>
      </c>
      <c r="E14" s="13" t="s">
        <v>18</v>
      </c>
      <c r="F14" s="14" t="s">
        <v>24</v>
      </c>
      <c r="G14" s="4">
        <v>2024.0</v>
      </c>
      <c r="H14" s="15">
        <v>78.0</v>
      </c>
      <c r="I14" s="15">
        <v>87.0</v>
      </c>
      <c r="J14" s="15">
        <v>90.0</v>
      </c>
      <c r="K14" s="15">
        <v>80.0</v>
      </c>
      <c r="L14" s="15">
        <v>78.0</v>
      </c>
      <c r="M14" s="15">
        <v>70.0</v>
      </c>
      <c r="N14" s="15">
        <v>80.0</v>
      </c>
      <c r="O14" s="15">
        <v>80.0</v>
      </c>
      <c r="P14" s="15">
        <v>80.375</v>
      </c>
      <c r="Q14" s="16"/>
      <c r="R14" s="1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C15" s="4">
        <v>6.0</v>
      </c>
      <c r="D15" s="12" t="s">
        <v>28</v>
      </c>
      <c r="E15" s="4" t="s">
        <v>18</v>
      </c>
      <c r="F15" s="17" t="s">
        <v>29</v>
      </c>
      <c r="G15" s="15">
        <v>2023.0</v>
      </c>
      <c r="H15" s="15">
        <v>85.0</v>
      </c>
      <c r="I15" s="15">
        <v>85.0</v>
      </c>
      <c r="J15" s="15">
        <v>90.0</v>
      </c>
      <c r="K15" s="15">
        <v>85.0</v>
      </c>
      <c r="L15" s="15">
        <v>85.0</v>
      </c>
      <c r="M15" s="15">
        <v>80.0</v>
      </c>
      <c r="N15" s="15">
        <v>85.0</v>
      </c>
      <c r="O15" s="15">
        <v>80.0</v>
      </c>
      <c r="P15" s="15">
        <v>84.375</v>
      </c>
      <c r="Q15" s="16"/>
      <c r="R15" s="1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C16" s="4">
        <v>7.0</v>
      </c>
      <c r="D16" s="12" t="s">
        <v>30</v>
      </c>
      <c r="E16" s="4" t="s">
        <v>23</v>
      </c>
      <c r="F16" s="14" t="s">
        <v>31</v>
      </c>
      <c r="G16" s="4">
        <v>2024.0</v>
      </c>
      <c r="H16" s="15">
        <v>83.0</v>
      </c>
      <c r="I16" s="15">
        <v>85.0</v>
      </c>
      <c r="J16" s="15">
        <v>85.0</v>
      </c>
      <c r="K16" s="15">
        <v>85.0</v>
      </c>
      <c r="L16" s="15">
        <v>75.0</v>
      </c>
      <c r="M16" s="15">
        <v>77.0</v>
      </c>
      <c r="N16" s="15">
        <v>80.0</v>
      </c>
      <c r="O16" s="18">
        <v>80.0</v>
      </c>
      <c r="P16" s="19">
        <v>81.25</v>
      </c>
      <c r="Q16" s="16"/>
      <c r="R16" s="1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C17" s="4">
        <v>8.0</v>
      </c>
      <c r="D17" s="12" t="s">
        <v>32</v>
      </c>
      <c r="E17" s="13" t="s">
        <v>18</v>
      </c>
      <c r="F17" s="14" t="s">
        <v>24</v>
      </c>
      <c r="G17" s="4">
        <v>2024.0</v>
      </c>
      <c r="H17" s="15">
        <v>77.0</v>
      </c>
      <c r="I17" s="15">
        <v>85.0</v>
      </c>
      <c r="J17" s="15">
        <v>82.0</v>
      </c>
      <c r="K17" s="15">
        <v>80.0</v>
      </c>
      <c r="L17" s="15">
        <v>80.0</v>
      </c>
      <c r="M17" s="15">
        <v>70.0</v>
      </c>
      <c r="N17" s="15">
        <v>87.0</v>
      </c>
      <c r="O17" s="20">
        <v>85.0</v>
      </c>
      <c r="P17" s="15">
        <v>80.75</v>
      </c>
      <c r="Q17" s="17"/>
      <c r="R17" s="1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C18" s="4">
        <v>9.0</v>
      </c>
      <c r="D18" s="12" t="s">
        <v>33</v>
      </c>
      <c r="E18" s="13" t="s">
        <v>23</v>
      </c>
      <c r="F18" s="14" t="s">
        <v>29</v>
      </c>
      <c r="G18" s="4">
        <v>2024.0</v>
      </c>
      <c r="H18" s="15">
        <v>95.0</v>
      </c>
      <c r="I18" s="15">
        <v>82.0</v>
      </c>
      <c r="J18" s="15">
        <v>87.0</v>
      </c>
      <c r="K18" s="15">
        <v>75.0</v>
      </c>
      <c r="L18" s="15">
        <v>70.0</v>
      </c>
      <c r="M18" s="15">
        <v>75.0</v>
      </c>
      <c r="N18" s="15">
        <v>87.0</v>
      </c>
      <c r="O18" s="15">
        <v>85.0</v>
      </c>
      <c r="P18" s="15">
        <v>82.0</v>
      </c>
      <c r="Q18" s="16"/>
      <c r="R18" s="1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C19" s="4">
        <v>10.0</v>
      </c>
      <c r="D19" s="12" t="s">
        <v>34</v>
      </c>
      <c r="E19" s="13" t="s">
        <v>18</v>
      </c>
      <c r="F19" s="14" t="s">
        <v>19</v>
      </c>
      <c r="G19" s="4">
        <v>2024.0</v>
      </c>
      <c r="H19" s="15">
        <v>80.0</v>
      </c>
      <c r="I19" s="15">
        <v>82.0</v>
      </c>
      <c r="J19" s="15">
        <v>85.0</v>
      </c>
      <c r="K19" s="15">
        <v>87.0</v>
      </c>
      <c r="L19" s="15">
        <v>80.0</v>
      </c>
      <c r="M19" s="15">
        <v>76.0</v>
      </c>
      <c r="N19" s="15">
        <v>80.0</v>
      </c>
      <c r="O19" s="15">
        <v>80.0</v>
      </c>
      <c r="P19" s="15">
        <v>81.25</v>
      </c>
      <c r="Q19" s="16"/>
      <c r="R19" s="1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C20" s="4">
        <v>11.0</v>
      </c>
      <c r="D20" s="12" t="s">
        <v>35</v>
      </c>
      <c r="E20" s="4" t="s">
        <v>23</v>
      </c>
      <c r="F20" s="14" t="s">
        <v>26</v>
      </c>
      <c r="G20" s="4">
        <v>2023.0</v>
      </c>
      <c r="H20" s="15">
        <v>75.0</v>
      </c>
      <c r="I20" s="15">
        <v>85.0</v>
      </c>
      <c r="J20" s="15">
        <v>87.0</v>
      </c>
      <c r="K20" s="15">
        <v>83.0</v>
      </c>
      <c r="L20" s="15">
        <v>85.0</v>
      </c>
      <c r="M20" s="15">
        <v>70.0</v>
      </c>
      <c r="N20" s="15">
        <v>85.0</v>
      </c>
      <c r="O20" s="15">
        <v>80.0</v>
      </c>
      <c r="P20" s="15">
        <v>81.25</v>
      </c>
      <c r="Q20" s="11"/>
      <c r="R20" s="1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C21" s="4">
        <v>12.0</v>
      </c>
      <c r="D21" s="12" t="s">
        <v>36</v>
      </c>
      <c r="E21" s="4" t="s">
        <v>23</v>
      </c>
      <c r="F21" s="14" t="s">
        <v>19</v>
      </c>
      <c r="G21" s="4">
        <v>2024.0</v>
      </c>
      <c r="H21" s="15">
        <v>80.0</v>
      </c>
      <c r="I21" s="15">
        <v>81.0</v>
      </c>
      <c r="J21" s="15">
        <v>85.0</v>
      </c>
      <c r="K21" s="15">
        <v>80.0</v>
      </c>
      <c r="L21" s="15">
        <v>80.0</v>
      </c>
      <c r="M21" s="15">
        <v>76.0</v>
      </c>
      <c r="N21" s="15">
        <v>90.0</v>
      </c>
      <c r="O21" s="15">
        <v>83.0</v>
      </c>
      <c r="P21" s="15">
        <v>81.875</v>
      </c>
      <c r="Q21" s="21"/>
      <c r="R21" s="1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C22" s="4">
        <v>13.0</v>
      </c>
      <c r="D22" s="12" t="s">
        <v>37</v>
      </c>
      <c r="E22" s="13" t="s">
        <v>18</v>
      </c>
      <c r="F22" s="14" t="s">
        <v>38</v>
      </c>
      <c r="G22" s="4">
        <v>2024.0</v>
      </c>
      <c r="H22" s="15">
        <v>65.0</v>
      </c>
      <c r="I22" s="15">
        <v>85.0</v>
      </c>
      <c r="J22" s="15">
        <v>95.0</v>
      </c>
      <c r="K22" s="15">
        <v>65.0</v>
      </c>
      <c r="L22" s="15">
        <v>85.0</v>
      </c>
      <c r="M22" s="15">
        <v>74.0</v>
      </c>
      <c r="N22" s="15">
        <v>86.0</v>
      </c>
      <c r="O22" s="15">
        <v>80.0</v>
      </c>
      <c r="P22" s="15">
        <v>79.375</v>
      </c>
      <c r="Q22" s="17"/>
      <c r="R22" s="1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C23" s="4">
        <v>14.0</v>
      </c>
      <c r="D23" s="12" t="s">
        <v>39</v>
      </c>
      <c r="E23" s="4" t="s">
        <v>23</v>
      </c>
      <c r="F23" s="14" t="s">
        <v>21</v>
      </c>
      <c r="G23" s="4">
        <v>2024.0</v>
      </c>
      <c r="H23" s="15">
        <v>85.0</v>
      </c>
      <c r="I23" s="15">
        <v>80.0</v>
      </c>
      <c r="J23" s="15">
        <v>85.0</v>
      </c>
      <c r="K23" s="15">
        <v>85.0</v>
      </c>
      <c r="L23" s="15">
        <v>80.0</v>
      </c>
      <c r="M23" s="15">
        <v>73.0</v>
      </c>
      <c r="N23" s="15">
        <v>80.0</v>
      </c>
      <c r="O23" s="15">
        <v>80.0</v>
      </c>
      <c r="P23" s="15">
        <v>81.0</v>
      </c>
      <c r="Q23" s="16"/>
      <c r="R23" s="1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C24" s="4">
        <v>15.0</v>
      </c>
      <c r="D24" s="12" t="s">
        <v>40</v>
      </c>
      <c r="E24" s="13" t="s">
        <v>18</v>
      </c>
      <c r="F24" s="14" t="s">
        <v>19</v>
      </c>
      <c r="G24" s="4">
        <v>2024.0</v>
      </c>
      <c r="H24" s="15">
        <v>80.0</v>
      </c>
      <c r="I24" s="15">
        <v>75.0</v>
      </c>
      <c r="J24" s="15">
        <v>90.0</v>
      </c>
      <c r="K24" s="15">
        <v>80.0</v>
      </c>
      <c r="L24" s="15">
        <v>75.0</v>
      </c>
      <c r="M24" s="15">
        <v>75.0</v>
      </c>
      <c r="N24" s="15">
        <v>86.0</v>
      </c>
      <c r="O24" s="15">
        <v>80.0</v>
      </c>
      <c r="P24" s="15">
        <v>80.125</v>
      </c>
      <c r="Q24" s="17"/>
      <c r="R24" s="1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C25" s="4">
        <v>16.0</v>
      </c>
      <c r="D25" s="12" t="s">
        <v>41</v>
      </c>
      <c r="E25" s="4" t="s">
        <v>23</v>
      </c>
      <c r="F25" s="14" t="s">
        <v>26</v>
      </c>
      <c r="G25" s="4">
        <v>2023.0</v>
      </c>
      <c r="H25" s="15">
        <v>78.0</v>
      </c>
      <c r="I25" s="15">
        <v>80.0</v>
      </c>
      <c r="J25" s="15">
        <v>85.0</v>
      </c>
      <c r="K25" s="15">
        <v>78.0</v>
      </c>
      <c r="L25" s="15">
        <v>80.0</v>
      </c>
      <c r="M25" s="15">
        <v>70.0</v>
      </c>
      <c r="N25" s="15">
        <v>80.0</v>
      </c>
      <c r="O25" s="15">
        <v>80.0</v>
      </c>
      <c r="P25" s="15">
        <v>78.875</v>
      </c>
      <c r="Q25" s="16"/>
      <c r="R25" s="1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C26" s="4">
        <v>17.0</v>
      </c>
      <c r="D26" s="12" t="s">
        <v>42</v>
      </c>
      <c r="E26" s="13" t="s">
        <v>18</v>
      </c>
      <c r="F26" s="14" t="s">
        <v>24</v>
      </c>
      <c r="G26" s="4">
        <v>2024.0</v>
      </c>
      <c r="H26" s="15">
        <v>80.0</v>
      </c>
      <c r="I26" s="15">
        <v>80.0</v>
      </c>
      <c r="J26" s="15">
        <v>90.0</v>
      </c>
      <c r="K26" s="15">
        <v>80.0</v>
      </c>
      <c r="L26" s="15">
        <v>85.0</v>
      </c>
      <c r="M26" s="15">
        <v>78.0</v>
      </c>
      <c r="N26" s="15">
        <v>80.0</v>
      </c>
      <c r="O26" s="15">
        <v>80.0</v>
      </c>
      <c r="P26" s="15">
        <v>81.625</v>
      </c>
      <c r="Q26" s="16"/>
      <c r="R26" s="1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C27" s="4">
        <v>18.0</v>
      </c>
      <c r="D27" s="12" t="s">
        <v>43</v>
      </c>
      <c r="E27" s="13" t="s">
        <v>23</v>
      </c>
      <c r="F27" s="14" t="s">
        <v>26</v>
      </c>
      <c r="G27" s="4">
        <v>2024.0</v>
      </c>
      <c r="H27" s="15">
        <v>85.0</v>
      </c>
      <c r="I27" s="15">
        <v>82.0</v>
      </c>
      <c r="J27" s="15">
        <v>95.0</v>
      </c>
      <c r="K27" s="15">
        <v>80.0</v>
      </c>
      <c r="L27" s="15">
        <v>85.0</v>
      </c>
      <c r="M27" s="15">
        <v>78.0</v>
      </c>
      <c r="N27" s="15">
        <v>85.0</v>
      </c>
      <c r="O27" s="15">
        <v>80.0</v>
      </c>
      <c r="P27" s="15">
        <v>83.75</v>
      </c>
      <c r="Q27" s="16"/>
      <c r="R27" s="1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C28" s="4">
        <v>19.0</v>
      </c>
      <c r="D28" s="12" t="s">
        <v>44</v>
      </c>
      <c r="E28" s="13" t="s">
        <v>18</v>
      </c>
      <c r="F28" s="14" t="s">
        <v>19</v>
      </c>
      <c r="G28" s="4">
        <v>2024.0</v>
      </c>
      <c r="H28" s="15">
        <v>85.0</v>
      </c>
      <c r="I28" s="15">
        <v>80.0</v>
      </c>
      <c r="J28" s="15">
        <v>90.0</v>
      </c>
      <c r="K28" s="15">
        <v>80.0</v>
      </c>
      <c r="L28" s="15">
        <v>75.0</v>
      </c>
      <c r="M28" s="15">
        <v>65.0</v>
      </c>
      <c r="N28" s="15">
        <v>85.0</v>
      </c>
      <c r="O28" s="15">
        <v>87.0</v>
      </c>
      <c r="P28" s="15">
        <v>80.875</v>
      </c>
      <c r="Q28" s="17"/>
      <c r="R28" s="1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C29" s="4">
        <v>20.0</v>
      </c>
      <c r="D29" s="12" t="s">
        <v>45</v>
      </c>
      <c r="E29" s="4" t="s">
        <v>23</v>
      </c>
      <c r="F29" s="14" t="s">
        <v>21</v>
      </c>
      <c r="G29" s="4">
        <v>2024.0</v>
      </c>
      <c r="H29" s="15">
        <v>77.0</v>
      </c>
      <c r="I29" s="15">
        <v>85.0</v>
      </c>
      <c r="J29" s="15">
        <v>85.0</v>
      </c>
      <c r="K29" s="15">
        <v>80.0</v>
      </c>
      <c r="L29" s="15">
        <v>80.0</v>
      </c>
      <c r="M29" s="15">
        <v>77.0</v>
      </c>
      <c r="N29" s="15">
        <v>80.0</v>
      </c>
      <c r="O29" s="15">
        <v>90.0</v>
      </c>
      <c r="P29" s="15">
        <v>81.75</v>
      </c>
      <c r="Q29" s="16"/>
      <c r="R29" s="1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C30" s="4">
        <v>21.0</v>
      </c>
      <c r="D30" s="12" t="s">
        <v>46</v>
      </c>
      <c r="E30" s="13" t="s">
        <v>18</v>
      </c>
      <c r="F30" s="14" t="s">
        <v>19</v>
      </c>
      <c r="G30" s="4">
        <v>2024.0</v>
      </c>
      <c r="H30" s="15">
        <v>82.0</v>
      </c>
      <c r="I30" s="15">
        <v>80.0</v>
      </c>
      <c r="J30" s="15">
        <v>80.0</v>
      </c>
      <c r="K30" s="15">
        <v>80.0</v>
      </c>
      <c r="L30" s="15">
        <v>80.0</v>
      </c>
      <c r="M30" s="15">
        <v>79.0</v>
      </c>
      <c r="N30" s="15">
        <v>85.0</v>
      </c>
      <c r="O30" s="15">
        <v>84.0</v>
      </c>
      <c r="P30" s="15">
        <v>81.25</v>
      </c>
      <c r="Q30" s="16"/>
      <c r="R30" s="1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C31" s="4">
        <v>22.0</v>
      </c>
      <c r="D31" s="12" t="s">
        <v>47</v>
      </c>
      <c r="E31" s="4" t="s">
        <v>23</v>
      </c>
      <c r="F31" s="14" t="s">
        <v>19</v>
      </c>
      <c r="G31" s="4">
        <v>2024.0</v>
      </c>
      <c r="H31" s="15">
        <v>75.0</v>
      </c>
      <c r="I31" s="15">
        <v>80.0</v>
      </c>
      <c r="J31" s="15">
        <v>90.0</v>
      </c>
      <c r="K31" s="15">
        <v>82.0</v>
      </c>
      <c r="L31" s="15">
        <v>75.0</v>
      </c>
      <c r="M31" s="15">
        <v>65.0</v>
      </c>
      <c r="N31" s="15">
        <v>85.0</v>
      </c>
      <c r="O31" s="15">
        <v>80.0</v>
      </c>
      <c r="P31" s="15">
        <v>79.0</v>
      </c>
      <c r="Q31" s="17"/>
      <c r="R31" s="1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C32" s="4">
        <v>23.0</v>
      </c>
      <c r="D32" s="12" t="s">
        <v>48</v>
      </c>
      <c r="E32" s="13" t="s">
        <v>18</v>
      </c>
      <c r="F32" s="14" t="s">
        <v>19</v>
      </c>
      <c r="G32" s="4">
        <v>2024.0</v>
      </c>
      <c r="H32" s="15">
        <v>90.0</v>
      </c>
      <c r="I32" s="15">
        <v>80.0</v>
      </c>
      <c r="J32" s="15">
        <v>80.0</v>
      </c>
      <c r="K32" s="15">
        <v>85.0</v>
      </c>
      <c r="L32" s="15">
        <v>80.0</v>
      </c>
      <c r="M32" s="15">
        <v>70.0</v>
      </c>
      <c r="N32" s="15">
        <v>85.0</v>
      </c>
      <c r="O32" s="15">
        <v>90.0</v>
      </c>
      <c r="P32" s="15">
        <v>82.5</v>
      </c>
      <c r="Q32" s="16"/>
      <c r="R32" s="1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C33" s="4">
        <v>24.0</v>
      </c>
      <c r="D33" s="12" t="s">
        <v>49</v>
      </c>
      <c r="E33" s="4" t="s">
        <v>23</v>
      </c>
      <c r="F33" s="22" t="s">
        <v>26</v>
      </c>
      <c r="G33" s="20">
        <v>2024.0</v>
      </c>
      <c r="H33" s="15">
        <v>80.0</v>
      </c>
      <c r="I33" s="15">
        <v>85.0</v>
      </c>
      <c r="J33" s="15">
        <v>86.0</v>
      </c>
      <c r="K33" s="15">
        <v>87.0</v>
      </c>
      <c r="L33" s="15">
        <v>80.0</v>
      </c>
      <c r="M33" s="15">
        <v>80.0</v>
      </c>
      <c r="N33" s="15">
        <v>90.0</v>
      </c>
      <c r="O33" s="15">
        <v>80.0</v>
      </c>
      <c r="P33" s="15">
        <v>83.5</v>
      </c>
      <c r="Q33" s="16"/>
      <c r="R33" s="1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C34" s="4">
        <v>25.0</v>
      </c>
      <c r="D34" s="12" t="s">
        <v>50</v>
      </c>
      <c r="E34" s="4" t="s">
        <v>18</v>
      </c>
      <c r="F34" s="17" t="s">
        <v>31</v>
      </c>
      <c r="G34" s="15">
        <v>2024.0</v>
      </c>
      <c r="H34" s="15">
        <v>85.0</v>
      </c>
      <c r="I34" s="15">
        <v>75.0</v>
      </c>
      <c r="J34" s="15">
        <v>90.0</v>
      </c>
      <c r="K34" s="15">
        <v>75.0</v>
      </c>
      <c r="L34" s="15">
        <v>80.0</v>
      </c>
      <c r="M34" s="15">
        <v>80.0</v>
      </c>
      <c r="N34" s="15">
        <v>86.0</v>
      </c>
      <c r="O34" s="15">
        <v>85.0</v>
      </c>
      <c r="P34" s="15">
        <v>82.0</v>
      </c>
      <c r="Q34" s="17"/>
      <c r="R34" s="1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C35" s="4">
        <v>26.0</v>
      </c>
      <c r="D35" s="12" t="s">
        <v>51</v>
      </c>
      <c r="E35" s="13" t="s">
        <v>23</v>
      </c>
      <c r="F35" s="17" t="s">
        <v>31</v>
      </c>
      <c r="G35" s="15">
        <v>2024.0</v>
      </c>
      <c r="H35" s="15">
        <v>84.0</v>
      </c>
      <c r="I35" s="15">
        <v>83.0</v>
      </c>
      <c r="J35" s="15">
        <v>82.0</v>
      </c>
      <c r="K35" s="15">
        <v>80.0</v>
      </c>
      <c r="L35" s="15">
        <v>85.0</v>
      </c>
      <c r="M35" s="15">
        <v>78.0</v>
      </c>
      <c r="N35" s="15">
        <v>75.0</v>
      </c>
      <c r="O35" s="15">
        <v>90.0</v>
      </c>
      <c r="P35" s="15">
        <v>82.125</v>
      </c>
      <c r="Q35" s="16"/>
      <c r="R35" s="1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C36" s="4">
        <v>27.0</v>
      </c>
      <c r="D36" s="12" t="s">
        <v>52</v>
      </c>
      <c r="E36" s="4" t="s">
        <v>18</v>
      </c>
      <c r="F36" s="17" t="s">
        <v>21</v>
      </c>
      <c r="G36" s="15">
        <v>2024.0</v>
      </c>
      <c r="H36" s="15">
        <v>80.0</v>
      </c>
      <c r="I36" s="15">
        <v>85.0</v>
      </c>
      <c r="J36" s="15">
        <v>80.0</v>
      </c>
      <c r="K36" s="15">
        <v>80.0</v>
      </c>
      <c r="L36" s="15">
        <v>80.0</v>
      </c>
      <c r="M36" s="15">
        <v>75.0</v>
      </c>
      <c r="N36" s="15">
        <v>85.0</v>
      </c>
      <c r="O36" s="15">
        <v>83.0</v>
      </c>
      <c r="P36" s="15">
        <v>81.0</v>
      </c>
      <c r="Q36" s="16"/>
      <c r="R36" s="1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C37" s="4">
        <v>28.0</v>
      </c>
      <c r="D37" s="12" t="s">
        <v>53</v>
      </c>
      <c r="E37" s="4" t="s">
        <v>18</v>
      </c>
      <c r="F37" s="17" t="s">
        <v>31</v>
      </c>
      <c r="G37" s="15">
        <v>2024.0</v>
      </c>
      <c r="H37" s="15">
        <v>80.0</v>
      </c>
      <c r="I37" s="15">
        <v>85.0</v>
      </c>
      <c r="J37" s="15">
        <v>80.0</v>
      </c>
      <c r="K37" s="15">
        <v>77.0</v>
      </c>
      <c r="L37" s="15">
        <v>90.0</v>
      </c>
      <c r="M37" s="15">
        <v>82.0</v>
      </c>
      <c r="N37" s="15">
        <v>85.0</v>
      </c>
      <c r="O37" s="15">
        <v>80.0</v>
      </c>
      <c r="P37" s="15">
        <v>82.375</v>
      </c>
      <c r="Q37" s="16"/>
      <c r="R37" s="1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C38" s="4">
        <v>29.0</v>
      </c>
      <c r="D38" s="12" t="s">
        <v>54</v>
      </c>
      <c r="E38" s="4" t="s">
        <v>23</v>
      </c>
      <c r="F38" s="17" t="s">
        <v>21</v>
      </c>
      <c r="G38" s="15">
        <v>2024.0</v>
      </c>
      <c r="H38" s="15">
        <v>80.0</v>
      </c>
      <c r="I38" s="15">
        <v>75.0</v>
      </c>
      <c r="J38" s="15">
        <v>90.0</v>
      </c>
      <c r="K38" s="15">
        <v>80.0</v>
      </c>
      <c r="L38" s="15">
        <v>75.0</v>
      </c>
      <c r="M38" s="15">
        <v>75.0</v>
      </c>
      <c r="N38" s="15">
        <v>86.0</v>
      </c>
      <c r="O38" s="15">
        <v>80.0</v>
      </c>
      <c r="P38" s="15">
        <v>80.125</v>
      </c>
      <c r="Q38" s="16"/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C39" s="4">
        <v>30.0</v>
      </c>
      <c r="D39" s="12" t="s">
        <v>55</v>
      </c>
      <c r="E39" s="13" t="s">
        <v>18</v>
      </c>
      <c r="F39" s="17" t="s">
        <v>38</v>
      </c>
      <c r="G39" s="15">
        <v>2023.0</v>
      </c>
      <c r="H39" s="15">
        <v>84.0</v>
      </c>
      <c r="I39" s="15">
        <v>80.0</v>
      </c>
      <c r="J39" s="15">
        <v>80.0</v>
      </c>
      <c r="K39" s="15">
        <v>84.0</v>
      </c>
      <c r="L39" s="15">
        <v>80.0</v>
      </c>
      <c r="M39" s="15">
        <v>74.0</v>
      </c>
      <c r="N39" s="15">
        <v>85.0</v>
      </c>
      <c r="O39" s="15">
        <v>85.0</v>
      </c>
      <c r="P39" s="15">
        <v>81.5</v>
      </c>
      <c r="Q39" s="17"/>
      <c r="R39" s="1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C40" s="4">
        <v>31.0</v>
      </c>
      <c r="D40" s="12" t="s">
        <v>56</v>
      </c>
      <c r="E40" s="4" t="s">
        <v>23</v>
      </c>
      <c r="F40" s="14" t="s">
        <v>26</v>
      </c>
      <c r="G40" s="4">
        <v>2024.0</v>
      </c>
      <c r="H40" s="15">
        <v>75.0</v>
      </c>
      <c r="I40" s="15">
        <v>80.0</v>
      </c>
      <c r="J40" s="15">
        <v>80.0</v>
      </c>
      <c r="K40" s="15">
        <v>80.0</v>
      </c>
      <c r="L40" s="15">
        <v>80.0</v>
      </c>
      <c r="M40" s="15">
        <v>70.0</v>
      </c>
      <c r="N40" s="15">
        <v>80.0</v>
      </c>
      <c r="O40" s="15">
        <v>80.0</v>
      </c>
      <c r="P40" s="15">
        <v>78.125</v>
      </c>
      <c r="Q40" s="16"/>
      <c r="R40" s="1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C41" s="4">
        <v>32.0</v>
      </c>
      <c r="D41" s="12" t="s">
        <v>57</v>
      </c>
      <c r="E41" s="4" t="s">
        <v>23</v>
      </c>
      <c r="F41" s="17" t="s">
        <v>26</v>
      </c>
      <c r="G41" s="15">
        <v>2024.0</v>
      </c>
      <c r="H41" s="15">
        <v>80.0</v>
      </c>
      <c r="I41" s="15">
        <v>80.0</v>
      </c>
      <c r="J41" s="15">
        <v>83.0</v>
      </c>
      <c r="K41" s="15">
        <v>87.0</v>
      </c>
      <c r="L41" s="15">
        <v>80.0</v>
      </c>
      <c r="M41" s="15">
        <v>77.0</v>
      </c>
      <c r="N41" s="15">
        <v>84.0</v>
      </c>
      <c r="O41" s="15">
        <v>80.0</v>
      </c>
      <c r="P41" s="15">
        <v>81.375</v>
      </c>
      <c r="Q41" s="16"/>
      <c r="R41" s="1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C42" s="4">
        <v>33.0</v>
      </c>
      <c r="D42" s="12" t="s">
        <v>58</v>
      </c>
      <c r="E42" s="4" t="s">
        <v>18</v>
      </c>
      <c r="F42" s="17" t="s">
        <v>38</v>
      </c>
      <c r="G42" s="15">
        <v>2023.0</v>
      </c>
      <c r="H42" s="15">
        <v>85.0</v>
      </c>
      <c r="I42" s="15">
        <v>82.0</v>
      </c>
      <c r="J42" s="15">
        <v>85.0</v>
      </c>
      <c r="K42" s="15">
        <v>85.0</v>
      </c>
      <c r="L42" s="15">
        <v>90.0</v>
      </c>
      <c r="M42" s="15">
        <v>80.0</v>
      </c>
      <c r="N42" s="15">
        <v>85.0</v>
      </c>
      <c r="O42" s="15">
        <v>82.0</v>
      </c>
      <c r="P42" s="15">
        <v>84.25</v>
      </c>
      <c r="Q42" s="16"/>
      <c r="R42" s="1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C43" s="4">
        <v>34.0</v>
      </c>
      <c r="D43" s="12" t="s">
        <v>59</v>
      </c>
      <c r="E43" s="4" t="s">
        <v>23</v>
      </c>
      <c r="F43" s="17" t="s">
        <v>29</v>
      </c>
      <c r="G43" s="15">
        <v>2023.0</v>
      </c>
      <c r="H43" s="15">
        <v>80.0</v>
      </c>
      <c r="I43" s="15">
        <v>80.0</v>
      </c>
      <c r="J43" s="15">
        <v>80.0</v>
      </c>
      <c r="K43" s="15">
        <v>80.0</v>
      </c>
      <c r="L43" s="15">
        <v>80.0</v>
      </c>
      <c r="M43" s="15">
        <v>70.0</v>
      </c>
      <c r="N43" s="15">
        <v>85.0</v>
      </c>
      <c r="O43" s="15">
        <v>85.0</v>
      </c>
      <c r="P43" s="15">
        <v>80.0</v>
      </c>
      <c r="Q43" s="17"/>
      <c r="R43" s="1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C44" s="4">
        <v>35.0</v>
      </c>
      <c r="D44" s="12" t="s">
        <v>60</v>
      </c>
      <c r="E44" s="13" t="s">
        <v>18</v>
      </c>
      <c r="F44" s="17" t="s">
        <v>19</v>
      </c>
      <c r="G44" s="15">
        <v>2024.0</v>
      </c>
      <c r="H44" s="15">
        <v>85.0</v>
      </c>
      <c r="I44" s="15">
        <v>87.0</v>
      </c>
      <c r="J44" s="15">
        <v>80.0</v>
      </c>
      <c r="K44" s="15">
        <v>87.0</v>
      </c>
      <c r="L44" s="15">
        <v>83.0</v>
      </c>
      <c r="M44" s="15">
        <v>78.0</v>
      </c>
      <c r="N44" s="15">
        <v>85.0</v>
      </c>
      <c r="O44" s="15">
        <v>80.0</v>
      </c>
      <c r="P44" s="15">
        <v>83.125</v>
      </c>
      <c r="Q44" s="16"/>
      <c r="R44" s="1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C45" s="4">
        <v>36.0</v>
      </c>
      <c r="D45" s="12" t="s">
        <v>61</v>
      </c>
      <c r="E45" s="4" t="s">
        <v>23</v>
      </c>
      <c r="F45" s="17" t="s">
        <v>24</v>
      </c>
      <c r="G45" s="15">
        <v>2024.0</v>
      </c>
      <c r="H45" s="15">
        <v>75.0</v>
      </c>
      <c r="I45" s="15">
        <v>82.0</v>
      </c>
      <c r="J45" s="15">
        <v>80.0</v>
      </c>
      <c r="K45" s="15">
        <v>80.0</v>
      </c>
      <c r="L45" s="15">
        <v>80.0</v>
      </c>
      <c r="M45" s="15">
        <v>73.0</v>
      </c>
      <c r="N45" s="15">
        <v>87.0</v>
      </c>
      <c r="O45" s="15">
        <v>80.0</v>
      </c>
      <c r="P45" s="15">
        <v>79.625</v>
      </c>
      <c r="Q45" s="16"/>
      <c r="R45" s="1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C46" s="4">
        <v>37.0</v>
      </c>
      <c r="D46" s="12" t="s">
        <v>62</v>
      </c>
      <c r="E46" s="4" t="s">
        <v>18</v>
      </c>
      <c r="F46" s="17" t="s">
        <v>38</v>
      </c>
      <c r="G46" s="15">
        <v>2023.0</v>
      </c>
      <c r="H46" s="15">
        <v>80.0</v>
      </c>
      <c r="I46" s="15">
        <v>70.0</v>
      </c>
      <c r="J46" s="15">
        <v>80.0</v>
      </c>
      <c r="K46" s="15">
        <v>75.0</v>
      </c>
      <c r="L46" s="15">
        <v>80.0</v>
      </c>
      <c r="M46" s="15">
        <v>80.0</v>
      </c>
      <c r="N46" s="15">
        <v>80.0</v>
      </c>
      <c r="O46" s="15">
        <v>78.0</v>
      </c>
      <c r="P46" s="15">
        <v>77.875</v>
      </c>
      <c r="Q46" s="17"/>
      <c r="R46" s="1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C47" s="4">
        <v>38.0</v>
      </c>
      <c r="D47" s="12" t="s">
        <v>63</v>
      </c>
      <c r="E47" s="4" t="s">
        <v>23</v>
      </c>
      <c r="F47" s="17" t="s">
        <v>19</v>
      </c>
      <c r="G47" s="15">
        <v>2024.0</v>
      </c>
      <c r="H47" s="15">
        <v>84.0</v>
      </c>
      <c r="I47" s="15">
        <v>80.0</v>
      </c>
      <c r="J47" s="15">
        <v>84.0</v>
      </c>
      <c r="K47" s="15">
        <v>81.0</v>
      </c>
      <c r="L47" s="15">
        <v>80.0</v>
      </c>
      <c r="M47" s="15">
        <v>74.0</v>
      </c>
      <c r="N47" s="15">
        <v>85.0</v>
      </c>
      <c r="O47" s="15">
        <v>85.0</v>
      </c>
      <c r="P47" s="15">
        <v>81.625</v>
      </c>
      <c r="Q47" s="16"/>
      <c r="R47" s="1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C48" s="4">
        <v>39.0</v>
      </c>
      <c r="D48" s="12" t="s">
        <v>64</v>
      </c>
      <c r="E48" s="13" t="s">
        <v>18</v>
      </c>
      <c r="F48" s="17" t="s">
        <v>19</v>
      </c>
      <c r="G48" s="15">
        <v>2024.0</v>
      </c>
      <c r="H48" s="15">
        <v>85.0</v>
      </c>
      <c r="I48" s="15">
        <v>87.0</v>
      </c>
      <c r="J48" s="15">
        <v>80.0</v>
      </c>
      <c r="K48" s="15">
        <v>87.0</v>
      </c>
      <c r="L48" s="15">
        <v>83.0</v>
      </c>
      <c r="M48" s="15">
        <v>78.0</v>
      </c>
      <c r="N48" s="15">
        <v>85.0</v>
      </c>
      <c r="O48" s="15">
        <v>80.0</v>
      </c>
      <c r="P48" s="15">
        <v>83.125</v>
      </c>
      <c r="Q48" s="16"/>
      <c r="R48" s="1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C49" s="4">
        <v>40.0</v>
      </c>
      <c r="D49" s="12" t="s">
        <v>65</v>
      </c>
      <c r="E49" s="4" t="s">
        <v>23</v>
      </c>
      <c r="F49" s="17" t="s">
        <v>19</v>
      </c>
      <c r="G49" s="15">
        <v>2024.0</v>
      </c>
      <c r="H49" s="15">
        <v>80.0</v>
      </c>
      <c r="I49" s="15">
        <v>85.0</v>
      </c>
      <c r="J49" s="15">
        <v>83.0</v>
      </c>
      <c r="K49" s="15">
        <v>80.0</v>
      </c>
      <c r="L49" s="15">
        <v>85.0</v>
      </c>
      <c r="M49" s="15">
        <v>76.0</v>
      </c>
      <c r="N49" s="15">
        <v>85.0</v>
      </c>
      <c r="O49" s="15">
        <v>85.0</v>
      </c>
      <c r="P49" s="15">
        <v>82.375</v>
      </c>
      <c r="Q49" s="16"/>
      <c r="R49" s="1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C50" s="4">
        <v>41.0</v>
      </c>
      <c r="D50" s="12" t="s">
        <v>66</v>
      </c>
      <c r="E50" s="13" t="s">
        <v>18</v>
      </c>
      <c r="F50" s="17" t="s">
        <v>19</v>
      </c>
      <c r="G50" s="15">
        <v>2024.0</v>
      </c>
      <c r="H50" s="15">
        <v>84.0</v>
      </c>
      <c r="I50" s="15">
        <v>80.0</v>
      </c>
      <c r="J50" s="15">
        <v>84.0</v>
      </c>
      <c r="K50" s="15">
        <v>81.0</v>
      </c>
      <c r="L50" s="15">
        <v>80.0</v>
      </c>
      <c r="M50" s="15">
        <v>74.0</v>
      </c>
      <c r="N50" s="15">
        <v>85.0</v>
      </c>
      <c r="O50" s="15">
        <v>85.0</v>
      </c>
      <c r="P50" s="15">
        <v>81.625</v>
      </c>
      <c r="Q50" s="16"/>
      <c r="R50" s="1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C51" s="4">
        <v>42.0</v>
      </c>
      <c r="D51" s="12" t="s">
        <v>67</v>
      </c>
      <c r="E51" s="4" t="s">
        <v>23</v>
      </c>
      <c r="F51" s="17" t="s">
        <v>19</v>
      </c>
      <c r="G51" s="15">
        <v>2024.0</v>
      </c>
      <c r="H51" s="15">
        <v>84.0</v>
      </c>
      <c r="I51" s="15">
        <v>80.0</v>
      </c>
      <c r="J51" s="15">
        <v>84.0</v>
      </c>
      <c r="K51" s="15">
        <v>86.0</v>
      </c>
      <c r="L51" s="15">
        <v>80.0</v>
      </c>
      <c r="M51" s="15">
        <v>70.0</v>
      </c>
      <c r="N51" s="15">
        <v>90.0</v>
      </c>
      <c r="O51" s="15">
        <v>85.0</v>
      </c>
      <c r="P51" s="15">
        <v>82.375</v>
      </c>
      <c r="Q51" s="17"/>
      <c r="R51" s="1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C52" s="4">
        <v>43.0</v>
      </c>
      <c r="D52" s="12" t="s">
        <v>68</v>
      </c>
      <c r="E52" s="13" t="s">
        <v>18</v>
      </c>
      <c r="F52" s="17" t="s">
        <v>19</v>
      </c>
      <c r="G52" s="15">
        <v>2024.0</v>
      </c>
      <c r="H52" s="15">
        <v>84.0</v>
      </c>
      <c r="I52" s="15">
        <v>83.0</v>
      </c>
      <c r="J52" s="15">
        <v>87.0</v>
      </c>
      <c r="K52" s="15">
        <v>85.0</v>
      </c>
      <c r="L52" s="15">
        <v>85.0</v>
      </c>
      <c r="M52" s="15">
        <v>74.0</v>
      </c>
      <c r="N52" s="15">
        <v>83.0</v>
      </c>
      <c r="O52" s="15">
        <v>80.0</v>
      </c>
      <c r="P52" s="15">
        <v>82.625</v>
      </c>
      <c r="Q52" s="16"/>
      <c r="R52" s="1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C53" s="4">
        <v>44.0</v>
      </c>
      <c r="D53" s="12" t="s">
        <v>69</v>
      </c>
      <c r="E53" s="4" t="s">
        <v>23</v>
      </c>
      <c r="F53" s="17" t="s">
        <v>19</v>
      </c>
      <c r="G53" s="15">
        <v>2024.0</v>
      </c>
      <c r="H53" s="15">
        <v>80.0</v>
      </c>
      <c r="I53" s="15">
        <v>80.0</v>
      </c>
      <c r="J53" s="15">
        <v>83.0</v>
      </c>
      <c r="K53" s="15">
        <v>87.0</v>
      </c>
      <c r="L53" s="15">
        <v>80.0</v>
      </c>
      <c r="M53" s="15">
        <v>77.0</v>
      </c>
      <c r="N53" s="15">
        <v>84.0</v>
      </c>
      <c r="O53" s="15">
        <v>80.0</v>
      </c>
      <c r="P53" s="15">
        <v>81.375</v>
      </c>
      <c r="Q53" s="16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C54" s="4">
        <v>45.0</v>
      </c>
      <c r="D54" s="12" t="s">
        <v>70</v>
      </c>
      <c r="E54" s="13" t="s">
        <v>18</v>
      </c>
      <c r="F54" s="14" t="s">
        <v>19</v>
      </c>
      <c r="G54" s="4">
        <v>2023.0</v>
      </c>
      <c r="H54" s="15">
        <v>84.0</v>
      </c>
      <c r="I54" s="15">
        <v>83.0</v>
      </c>
      <c r="J54" s="15">
        <v>82.0</v>
      </c>
      <c r="K54" s="15">
        <v>80.0</v>
      </c>
      <c r="L54" s="15">
        <v>85.0</v>
      </c>
      <c r="M54" s="15">
        <v>78.0</v>
      </c>
      <c r="N54" s="15">
        <v>75.0</v>
      </c>
      <c r="O54" s="15">
        <v>90.0</v>
      </c>
      <c r="P54" s="15">
        <v>82.125</v>
      </c>
      <c r="Q54" s="16"/>
      <c r="R54" s="1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C55" s="4">
        <v>46.0</v>
      </c>
      <c r="D55" s="12" t="s">
        <v>71</v>
      </c>
      <c r="E55" s="13" t="s">
        <v>23</v>
      </c>
      <c r="F55" s="17" t="s">
        <v>19</v>
      </c>
      <c r="G55" s="15">
        <v>2024.0</v>
      </c>
      <c r="H55" s="15">
        <v>87.0</v>
      </c>
      <c r="I55" s="15">
        <v>88.0</v>
      </c>
      <c r="J55" s="15">
        <v>87.0</v>
      </c>
      <c r="K55" s="15">
        <v>83.0</v>
      </c>
      <c r="L55" s="15">
        <v>82.0</v>
      </c>
      <c r="M55" s="15">
        <v>80.0</v>
      </c>
      <c r="N55" s="15">
        <v>87.0</v>
      </c>
      <c r="O55" s="15">
        <v>82.0</v>
      </c>
      <c r="P55" s="15">
        <v>84.5</v>
      </c>
      <c r="Q55" s="16"/>
      <c r="R55" s="1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C56" s="4">
        <v>47.0</v>
      </c>
      <c r="D56" s="12" t="s">
        <v>72</v>
      </c>
      <c r="E56" s="13" t="s">
        <v>18</v>
      </c>
      <c r="F56" s="17" t="s">
        <v>19</v>
      </c>
      <c r="G56" s="15">
        <v>2024.0</v>
      </c>
      <c r="H56" s="15">
        <v>80.0</v>
      </c>
      <c r="I56" s="15">
        <v>85.0</v>
      </c>
      <c r="J56" s="15">
        <v>83.0</v>
      </c>
      <c r="K56" s="15">
        <v>87.0</v>
      </c>
      <c r="L56" s="15">
        <v>80.0</v>
      </c>
      <c r="M56" s="15">
        <v>77.0</v>
      </c>
      <c r="N56" s="15">
        <v>84.0</v>
      </c>
      <c r="O56" s="15">
        <v>85.0</v>
      </c>
      <c r="P56" s="15">
        <v>82.625</v>
      </c>
      <c r="Q56" s="16"/>
      <c r="R56" s="1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C57" s="4">
        <v>48.0</v>
      </c>
      <c r="D57" s="12" t="s">
        <v>73</v>
      </c>
      <c r="E57" s="4" t="s">
        <v>23</v>
      </c>
      <c r="F57" s="17" t="s">
        <v>19</v>
      </c>
      <c r="G57" s="15">
        <v>2023.0</v>
      </c>
      <c r="H57" s="15">
        <v>80.0</v>
      </c>
      <c r="I57" s="15">
        <v>84.0</v>
      </c>
      <c r="J57" s="15">
        <v>81.0</v>
      </c>
      <c r="K57" s="15">
        <v>85.0</v>
      </c>
      <c r="L57" s="15">
        <v>82.0</v>
      </c>
      <c r="M57" s="15">
        <v>80.0</v>
      </c>
      <c r="N57" s="15">
        <v>85.0</v>
      </c>
      <c r="O57" s="15">
        <v>80.0</v>
      </c>
      <c r="P57" s="15">
        <v>82.125</v>
      </c>
      <c r="Q57" s="16"/>
      <c r="R57" s="1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C58" s="4">
        <v>49.0</v>
      </c>
      <c r="D58" s="12" t="s">
        <v>74</v>
      </c>
      <c r="E58" s="13" t="s">
        <v>18</v>
      </c>
      <c r="F58" s="14" t="s">
        <v>19</v>
      </c>
      <c r="G58" s="4">
        <v>2023.0</v>
      </c>
      <c r="H58" s="15">
        <v>84.0</v>
      </c>
      <c r="I58" s="15">
        <v>83.0</v>
      </c>
      <c r="J58" s="15">
        <v>82.0</v>
      </c>
      <c r="K58" s="15">
        <v>80.0</v>
      </c>
      <c r="L58" s="15">
        <v>85.0</v>
      </c>
      <c r="M58" s="15">
        <v>78.0</v>
      </c>
      <c r="N58" s="15">
        <v>75.0</v>
      </c>
      <c r="O58" s="15">
        <v>90.0</v>
      </c>
      <c r="P58" s="15">
        <v>82.125</v>
      </c>
      <c r="Q58" s="16"/>
      <c r="R58" s="1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C59" s="4">
        <v>50.0</v>
      </c>
      <c r="D59" s="12" t="s">
        <v>75</v>
      </c>
      <c r="E59" s="2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7" t="e">
        <v>#DIV/0!</v>
      </c>
      <c r="Q59" s="25"/>
      <c r="R59" s="1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C63" s="28" t="s">
        <v>76</v>
      </c>
      <c r="D63" s="29"/>
      <c r="E63" s="29"/>
      <c r="F63" s="29"/>
      <c r="G63" s="30"/>
      <c r="H63" s="31">
        <v>0.25</v>
      </c>
      <c r="I63" s="31">
        <v>0.2</v>
      </c>
      <c r="J63" s="31">
        <v>0.3</v>
      </c>
      <c r="K63" s="31">
        <v>0.25</v>
      </c>
      <c r="L63" s="32"/>
      <c r="M63" s="32"/>
      <c r="N63" s="32"/>
      <c r="O63" s="32"/>
      <c r="P63" s="32"/>
      <c r="Q63" s="3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</sheetData>
  <mergeCells count="3">
    <mergeCell ref="J7:L7"/>
    <mergeCell ref="D8:H8"/>
    <mergeCell ref="C63:G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  <col customWidth="1" min="4" max="4" width="33.0"/>
    <col customWidth="1" min="5" max="5" width="19.38"/>
    <col customWidth="1" min="6" max="6" width="36.25"/>
    <col customWidth="1" min="7" max="7" width="15.88"/>
    <col customWidth="1" min="8" max="8" width="26.88"/>
    <col customWidth="1" min="9" max="9" width="23.0"/>
    <col customWidth="1" min="10" max="11" width="21.88"/>
    <col customWidth="1" min="12" max="12" width="22.5"/>
    <col customWidth="1" min="13" max="13" width="22.0"/>
    <col customWidth="1" min="14" max="14" width="24.88"/>
    <col customWidth="1" min="15" max="15" width="26.88"/>
    <col customWidth="1" min="16" max="16" width="30.0"/>
    <col customWidth="1" min="17" max="17" width="23.63"/>
  </cols>
  <sheetData>
    <row r="7">
      <c r="C7" s="1"/>
      <c r="D7" s="1"/>
      <c r="E7" s="1"/>
      <c r="F7" s="1"/>
      <c r="G7" s="1"/>
      <c r="H7" s="1"/>
      <c r="I7" s="1"/>
      <c r="J7" s="2" t="s">
        <v>0</v>
      </c>
      <c r="M7" s="1"/>
      <c r="N7" s="1"/>
      <c r="O7" s="1"/>
      <c r="P7" s="1"/>
      <c r="Q7" s="1"/>
      <c r="R7" s="1"/>
    </row>
    <row r="8">
      <c r="C8" s="1"/>
      <c r="D8" s="3" t="s">
        <v>77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C9" s="4" t="s">
        <v>2</v>
      </c>
      <c r="D9" s="10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33" t="s">
        <v>78</v>
      </c>
      <c r="M9" s="33" t="s">
        <v>79</v>
      </c>
      <c r="N9" s="33" t="s">
        <v>80</v>
      </c>
      <c r="O9" s="33" t="s">
        <v>81</v>
      </c>
      <c r="P9" s="9" t="s">
        <v>15</v>
      </c>
      <c r="Q9" s="10" t="s">
        <v>16</v>
      </c>
      <c r="R9" s="11"/>
    </row>
    <row r="10">
      <c r="C10" s="19">
        <v>1.0</v>
      </c>
      <c r="D10" s="12" t="s">
        <v>17</v>
      </c>
      <c r="E10" s="13" t="s">
        <v>18</v>
      </c>
      <c r="F10" s="14" t="s">
        <v>19</v>
      </c>
      <c r="G10" s="4">
        <v>2024.0</v>
      </c>
      <c r="H10" s="34">
        <v>85.0</v>
      </c>
      <c r="I10" s="34">
        <v>85.0</v>
      </c>
      <c r="J10" s="34">
        <v>85.0</v>
      </c>
      <c r="K10" s="34">
        <v>85.0</v>
      </c>
      <c r="L10" s="34">
        <v>85.0</v>
      </c>
      <c r="M10" s="34">
        <v>85.0</v>
      </c>
      <c r="N10" s="34">
        <v>70.0</v>
      </c>
      <c r="O10" s="34">
        <v>85.0</v>
      </c>
      <c r="P10" s="35">
        <f t="shared" ref="P10:P58" si="1">(H10+I10+J10+K10+L10+M10+N10+O10)/8</f>
        <v>83.125</v>
      </c>
      <c r="Q10" s="16"/>
      <c r="R10" s="11"/>
    </row>
    <row r="11">
      <c r="C11" s="19">
        <v>2.0</v>
      </c>
      <c r="D11" s="12" t="s">
        <v>20</v>
      </c>
      <c r="E11" s="4" t="s">
        <v>18</v>
      </c>
      <c r="F11" s="14" t="s">
        <v>21</v>
      </c>
      <c r="G11" s="4">
        <v>2024.0</v>
      </c>
      <c r="H11" s="34">
        <v>83.0</v>
      </c>
      <c r="I11" s="34">
        <v>83.0</v>
      </c>
      <c r="J11" s="34">
        <v>85.0</v>
      </c>
      <c r="K11" s="34">
        <v>85.0</v>
      </c>
      <c r="L11" s="34">
        <v>85.0</v>
      </c>
      <c r="M11" s="34">
        <v>85.0</v>
      </c>
      <c r="N11" s="34">
        <v>70.0</v>
      </c>
      <c r="O11" s="34">
        <v>85.0</v>
      </c>
      <c r="P11" s="35">
        <f t="shared" si="1"/>
        <v>82.625</v>
      </c>
      <c r="Q11" s="16"/>
      <c r="R11" s="11"/>
    </row>
    <row r="12">
      <c r="C12" s="19">
        <v>3.0</v>
      </c>
      <c r="D12" s="12" t="s">
        <v>22</v>
      </c>
      <c r="E12" s="4" t="s">
        <v>23</v>
      </c>
      <c r="F12" s="14" t="s">
        <v>24</v>
      </c>
      <c r="G12" s="4">
        <v>2023.0</v>
      </c>
      <c r="H12" s="34">
        <v>90.0</v>
      </c>
      <c r="I12" s="34">
        <v>88.0</v>
      </c>
      <c r="J12" s="34">
        <v>85.0</v>
      </c>
      <c r="K12" s="34">
        <v>90.0</v>
      </c>
      <c r="L12" s="34">
        <v>90.0</v>
      </c>
      <c r="M12" s="34">
        <v>90.0</v>
      </c>
      <c r="N12" s="34">
        <v>90.0</v>
      </c>
      <c r="O12" s="34">
        <v>90.0</v>
      </c>
      <c r="P12" s="35">
        <f t="shared" si="1"/>
        <v>89.125</v>
      </c>
      <c r="Q12" s="16"/>
      <c r="R12" s="11"/>
    </row>
    <row r="13">
      <c r="C13" s="19">
        <v>4.0</v>
      </c>
      <c r="D13" s="12" t="s">
        <v>25</v>
      </c>
      <c r="E13" s="4" t="s">
        <v>23</v>
      </c>
      <c r="F13" s="14" t="s">
        <v>26</v>
      </c>
      <c r="G13" s="4">
        <v>2024.0</v>
      </c>
      <c r="H13" s="34">
        <v>88.0</v>
      </c>
      <c r="I13" s="34">
        <v>88.0</v>
      </c>
      <c r="J13" s="34">
        <v>85.0</v>
      </c>
      <c r="K13" s="34">
        <v>85.0</v>
      </c>
      <c r="L13" s="34">
        <v>85.0</v>
      </c>
      <c r="M13" s="34">
        <v>88.0</v>
      </c>
      <c r="N13" s="34">
        <v>70.0</v>
      </c>
      <c r="O13" s="34">
        <v>85.0</v>
      </c>
      <c r="P13" s="35">
        <f t="shared" si="1"/>
        <v>84.25</v>
      </c>
      <c r="Q13" s="16"/>
      <c r="R13" s="11"/>
    </row>
    <row r="14">
      <c r="C14" s="19">
        <v>5.0</v>
      </c>
      <c r="D14" s="12" t="s">
        <v>27</v>
      </c>
      <c r="E14" s="13" t="s">
        <v>18</v>
      </c>
      <c r="F14" s="14" t="s">
        <v>24</v>
      </c>
      <c r="G14" s="4">
        <v>2024.0</v>
      </c>
      <c r="H14" s="34">
        <v>88.0</v>
      </c>
      <c r="I14" s="34">
        <v>88.0</v>
      </c>
      <c r="J14" s="34">
        <v>85.0</v>
      </c>
      <c r="K14" s="34">
        <v>88.0</v>
      </c>
      <c r="L14" s="34">
        <v>88.0</v>
      </c>
      <c r="M14" s="34">
        <v>88.0</v>
      </c>
      <c r="N14" s="34">
        <v>70.0</v>
      </c>
      <c r="O14" s="34">
        <v>88.0</v>
      </c>
      <c r="P14" s="35">
        <f t="shared" si="1"/>
        <v>85.375</v>
      </c>
      <c r="Q14" s="16"/>
      <c r="R14" s="11"/>
    </row>
    <row r="15">
      <c r="C15" s="19">
        <v>6.0</v>
      </c>
      <c r="D15" s="12" t="s">
        <v>28</v>
      </c>
      <c r="E15" s="4" t="s">
        <v>18</v>
      </c>
      <c r="F15" s="17" t="s">
        <v>29</v>
      </c>
      <c r="G15" s="15">
        <v>2023.0</v>
      </c>
      <c r="H15" s="34">
        <v>87.0</v>
      </c>
      <c r="I15" s="34">
        <v>87.0</v>
      </c>
      <c r="J15" s="34">
        <v>87.0</v>
      </c>
      <c r="K15" s="34">
        <v>87.0</v>
      </c>
      <c r="L15" s="34">
        <v>87.0</v>
      </c>
      <c r="M15" s="34">
        <v>87.0</v>
      </c>
      <c r="N15" s="34">
        <v>70.0</v>
      </c>
      <c r="O15" s="34">
        <v>87.0</v>
      </c>
      <c r="P15" s="35">
        <f t="shared" si="1"/>
        <v>84.875</v>
      </c>
      <c r="Q15" s="16"/>
      <c r="R15" s="11"/>
    </row>
    <row r="16">
      <c r="C16" s="19">
        <v>7.0</v>
      </c>
      <c r="D16" s="12" t="s">
        <v>30</v>
      </c>
      <c r="E16" s="4" t="s">
        <v>23</v>
      </c>
      <c r="F16" s="14" t="s">
        <v>31</v>
      </c>
      <c r="G16" s="4">
        <v>2024.0</v>
      </c>
      <c r="H16" s="34">
        <v>90.0</v>
      </c>
      <c r="I16" s="34">
        <v>85.0</v>
      </c>
      <c r="J16" s="34">
        <v>85.0</v>
      </c>
      <c r="K16" s="34">
        <v>90.0</v>
      </c>
      <c r="L16" s="36">
        <v>88.0</v>
      </c>
      <c r="M16" s="34">
        <v>88.0</v>
      </c>
      <c r="N16" s="34">
        <v>80.0</v>
      </c>
      <c r="O16" s="34">
        <v>88.0</v>
      </c>
      <c r="P16" s="35">
        <f t="shared" si="1"/>
        <v>86.75</v>
      </c>
      <c r="Q16" s="16"/>
      <c r="R16" s="11"/>
    </row>
    <row r="17">
      <c r="C17" s="19">
        <v>8.0</v>
      </c>
      <c r="D17" s="12" t="s">
        <v>32</v>
      </c>
      <c r="E17" s="13" t="s">
        <v>18</v>
      </c>
      <c r="F17" s="14" t="s">
        <v>24</v>
      </c>
      <c r="G17" s="4">
        <v>2024.0</v>
      </c>
      <c r="H17" s="34">
        <v>85.0</v>
      </c>
      <c r="I17" s="34">
        <v>85.0</v>
      </c>
      <c r="J17" s="34">
        <v>85.0</v>
      </c>
      <c r="K17" s="34">
        <v>85.0</v>
      </c>
      <c r="L17" s="34">
        <v>85.0</v>
      </c>
      <c r="M17" s="34">
        <v>85.0</v>
      </c>
      <c r="N17" s="34">
        <v>70.0</v>
      </c>
      <c r="O17" s="34">
        <v>85.0</v>
      </c>
      <c r="P17" s="35">
        <f t="shared" si="1"/>
        <v>83.125</v>
      </c>
      <c r="Q17" s="17"/>
      <c r="R17" s="11"/>
    </row>
    <row r="18">
      <c r="C18" s="19">
        <v>9.0</v>
      </c>
      <c r="D18" s="12" t="s">
        <v>33</v>
      </c>
      <c r="E18" s="13" t="s">
        <v>23</v>
      </c>
      <c r="F18" s="14" t="s">
        <v>29</v>
      </c>
      <c r="G18" s="4">
        <v>2024.0</v>
      </c>
      <c r="H18" s="34">
        <v>88.0</v>
      </c>
      <c r="I18" s="34">
        <v>85.0</v>
      </c>
      <c r="J18" s="34">
        <v>85.0</v>
      </c>
      <c r="K18" s="34">
        <v>88.0</v>
      </c>
      <c r="L18" s="34">
        <v>85.0</v>
      </c>
      <c r="M18" s="34">
        <v>88.0</v>
      </c>
      <c r="N18" s="34">
        <v>70.0</v>
      </c>
      <c r="O18" s="34">
        <v>85.0</v>
      </c>
      <c r="P18" s="35">
        <f t="shared" si="1"/>
        <v>84.25</v>
      </c>
      <c r="Q18" s="16"/>
      <c r="R18" s="11"/>
    </row>
    <row r="19">
      <c r="C19" s="19">
        <v>10.0</v>
      </c>
      <c r="D19" s="12" t="s">
        <v>34</v>
      </c>
      <c r="E19" s="13" t="s">
        <v>18</v>
      </c>
      <c r="F19" s="14" t="s">
        <v>19</v>
      </c>
      <c r="G19" s="4">
        <v>2024.0</v>
      </c>
      <c r="H19" s="34">
        <v>90.0</v>
      </c>
      <c r="I19" s="34">
        <v>85.0</v>
      </c>
      <c r="J19" s="34">
        <v>85.0</v>
      </c>
      <c r="K19" s="34">
        <v>90.0</v>
      </c>
      <c r="L19" s="34">
        <v>88.0</v>
      </c>
      <c r="M19" s="34">
        <v>85.0</v>
      </c>
      <c r="N19" s="34">
        <v>70.0</v>
      </c>
      <c r="O19" s="34">
        <v>85.0</v>
      </c>
      <c r="P19" s="35">
        <f t="shared" si="1"/>
        <v>84.75</v>
      </c>
      <c r="Q19" s="16"/>
      <c r="R19" s="11"/>
    </row>
    <row r="20">
      <c r="C20" s="19">
        <v>11.0</v>
      </c>
      <c r="D20" s="12" t="s">
        <v>35</v>
      </c>
      <c r="E20" s="4" t="s">
        <v>23</v>
      </c>
      <c r="F20" s="14" t="s">
        <v>26</v>
      </c>
      <c r="G20" s="4">
        <v>2023.0</v>
      </c>
      <c r="H20" s="34">
        <v>90.0</v>
      </c>
      <c r="I20" s="34">
        <v>88.0</v>
      </c>
      <c r="J20" s="34">
        <v>85.0</v>
      </c>
      <c r="K20" s="34">
        <v>90.0</v>
      </c>
      <c r="L20" s="34">
        <v>85.0</v>
      </c>
      <c r="M20" s="34">
        <v>85.0</v>
      </c>
      <c r="N20" s="34">
        <v>70.0</v>
      </c>
      <c r="O20" s="34">
        <v>88.0</v>
      </c>
      <c r="P20" s="35">
        <f t="shared" si="1"/>
        <v>85.125</v>
      </c>
      <c r="Q20" s="11"/>
      <c r="R20" s="11"/>
    </row>
    <row r="21">
      <c r="C21" s="19">
        <v>12.0</v>
      </c>
      <c r="D21" s="12" t="s">
        <v>36</v>
      </c>
      <c r="E21" s="4" t="s">
        <v>23</v>
      </c>
      <c r="F21" s="14" t="s">
        <v>19</v>
      </c>
      <c r="G21" s="4">
        <v>2024.0</v>
      </c>
      <c r="H21" s="34">
        <v>90.0</v>
      </c>
      <c r="I21" s="34">
        <v>85.0</v>
      </c>
      <c r="J21" s="34">
        <v>85.0</v>
      </c>
      <c r="K21" s="34">
        <v>90.0</v>
      </c>
      <c r="L21" s="34">
        <v>85.0</v>
      </c>
      <c r="M21" s="34">
        <v>85.0</v>
      </c>
      <c r="N21" s="34">
        <v>90.0</v>
      </c>
      <c r="O21" s="34">
        <v>88.0</v>
      </c>
      <c r="P21" s="35">
        <f t="shared" si="1"/>
        <v>87.25</v>
      </c>
      <c r="Q21" s="21"/>
      <c r="R21" s="11"/>
    </row>
    <row r="22">
      <c r="C22" s="19">
        <v>13.0</v>
      </c>
      <c r="D22" s="12" t="s">
        <v>37</v>
      </c>
      <c r="E22" s="13" t="s">
        <v>18</v>
      </c>
      <c r="F22" s="14" t="s">
        <v>38</v>
      </c>
      <c r="G22" s="4">
        <v>2024.0</v>
      </c>
      <c r="H22" s="34">
        <v>80.0</v>
      </c>
      <c r="I22" s="34">
        <v>80.0</v>
      </c>
      <c r="J22" s="34">
        <v>85.0</v>
      </c>
      <c r="K22" s="34">
        <v>80.0</v>
      </c>
      <c r="L22" s="34">
        <v>80.0</v>
      </c>
      <c r="M22" s="34">
        <v>80.0</v>
      </c>
      <c r="N22" s="34">
        <v>70.0</v>
      </c>
      <c r="O22" s="34">
        <v>80.0</v>
      </c>
      <c r="P22" s="35">
        <f t="shared" si="1"/>
        <v>79.375</v>
      </c>
      <c r="Q22" s="17"/>
      <c r="R22" s="11"/>
    </row>
    <row r="23">
      <c r="C23" s="19">
        <v>14.0</v>
      </c>
      <c r="D23" s="12" t="s">
        <v>39</v>
      </c>
      <c r="E23" s="4" t="s">
        <v>23</v>
      </c>
      <c r="F23" s="14" t="s">
        <v>21</v>
      </c>
      <c r="G23" s="4">
        <v>2024.0</v>
      </c>
      <c r="H23" s="34">
        <v>90.0</v>
      </c>
      <c r="I23" s="34">
        <v>90.0</v>
      </c>
      <c r="J23" s="34">
        <v>85.0</v>
      </c>
      <c r="K23" s="34">
        <v>90.0</v>
      </c>
      <c r="L23" s="34">
        <v>90.0</v>
      </c>
      <c r="M23" s="34">
        <v>90.0</v>
      </c>
      <c r="N23" s="34">
        <v>70.0</v>
      </c>
      <c r="O23" s="34">
        <v>90.0</v>
      </c>
      <c r="P23" s="35">
        <f t="shared" si="1"/>
        <v>86.875</v>
      </c>
      <c r="Q23" s="16"/>
      <c r="R23" s="11"/>
    </row>
    <row r="24">
      <c r="C24" s="19">
        <v>15.0</v>
      </c>
      <c r="D24" s="12" t="s">
        <v>40</v>
      </c>
      <c r="E24" s="13" t="s">
        <v>18</v>
      </c>
      <c r="F24" s="14" t="s">
        <v>19</v>
      </c>
      <c r="G24" s="4">
        <v>2024.0</v>
      </c>
      <c r="H24" s="34">
        <v>85.0</v>
      </c>
      <c r="I24" s="34">
        <v>85.0</v>
      </c>
      <c r="J24" s="34">
        <v>85.0</v>
      </c>
      <c r="K24" s="34">
        <v>90.0</v>
      </c>
      <c r="L24" s="34">
        <v>90.0</v>
      </c>
      <c r="M24" s="34">
        <v>88.0</v>
      </c>
      <c r="N24" s="34">
        <v>90.0</v>
      </c>
      <c r="O24" s="34">
        <v>85.0</v>
      </c>
      <c r="P24" s="35">
        <f t="shared" si="1"/>
        <v>87.25</v>
      </c>
      <c r="Q24" s="17"/>
      <c r="R24" s="11"/>
    </row>
    <row r="25">
      <c r="C25" s="19">
        <v>16.0</v>
      </c>
      <c r="D25" s="12" t="s">
        <v>41</v>
      </c>
      <c r="E25" s="4" t="s">
        <v>23</v>
      </c>
      <c r="F25" s="14" t="s">
        <v>26</v>
      </c>
      <c r="G25" s="4">
        <v>2023.0</v>
      </c>
      <c r="H25" s="34">
        <v>88.0</v>
      </c>
      <c r="I25" s="34">
        <v>85.0</v>
      </c>
      <c r="J25" s="34">
        <v>85.0</v>
      </c>
      <c r="K25" s="34">
        <v>85.0</v>
      </c>
      <c r="L25" s="34">
        <v>88.0</v>
      </c>
      <c r="M25" s="34">
        <v>88.0</v>
      </c>
      <c r="N25" s="34">
        <v>70.0</v>
      </c>
      <c r="O25" s="34">
        <v>85.0</v>
      </c>
      <c r="P25" s="35">
        <f t="shared" si="1"/>
        <v>84.25</v>
      </c>
      <c r="Q25" s="16"/>
      <c r="R25" s="11"/>
    </row>
    <row r="26">
      <c r="C26" s="19">
        <v>17.0</v>
      </c>
      <c r="D26" s="12" t="s">
        <v>42</v>
      </c>
      <c r="E26" s="13" t="s">
        <v>18</v>
      </c>
      <c r="F26" s="14" t="s">
        <v>24</v>
      </c>
      <c r="G26" s="4">
        <v>2024.0</v>
      </c>
      <c r="H26" s="34">
        <v>88.0</v>
      </c>
      <c r="I26" s="34">
        <v>85.0</v>
      </c>
      <c r="J26" s="34">
        <v>85.0</v>
      </c>
      <c r="K26" s="34">
        <v>85.0</v>
      </c>
      <c r="L26" s="34">
        <v>85.0</v>
      </c>
      <c r="M26" s="34">
        <v>85.0</v>
      </c>
      <c r="N26" s="34">
        <v>70.0</v>
      </c>
      <c r="O26" s="34">
        <v>85.0</v>
      </c>
      <c r="P26" s="35">
        <f t="shared" si="1"/>
        <v>83.5</v>
      </c>
      <c r="Q26" s="16"/>
      <c r="R26" s="11"/>
    </row>
    <row r="27">
      <c r="C27" s="19">
        <v>18.0</v>
      </c>
      <c r="D27" s="12" t="s">
        <v>43</v>
      </c>
      <c r="E27" s="13" t="s">
        <v>23</v>
      </c>
      <c r="F27" s="14" t="s">
        <v>26</v>
      </c>
      <c r="G27" s="4">
        <v>2024.0</v>
      </c>
      <c r="H27" s="34">
        <v>85.0</v>
      </c>
      <c r="I27" s="34">
        <v>85.0</v>
      </c>
      <c r="J27" s="34">
        <v>85.0</v>
      </c>
      <c r="K27" s="34">
        <v>83.0</v>
      </c>
      <c r="L27" s="34">
        <v>88.0</v>
      </c>
      <c r="M27" s="34">
        <v>88.0</v>
      </c>
      <c r="N27" s="34">
        <v>70.0</v>
      </c>
      <c r="O27" s="34">
        <v>83.0</v>
      </c>
      <c r="P27" s="35">
        <f t="shared" si="1"/>
        <v>83.375</v>
      </c>
      <c r="Q27" s="16"/>
      <c r="R27" s="11"/>
    </row>
    <row r="28">
      <c r="C28" s="19">
        <v>19.0</v>
      </c>
      <c r="D28" s="12" t="s">
        <v>44</v>
      </c>
      <c r="E28" s="13" t="s">
        <v>18</v>
      </c>
      <c r="F28" s="14" t="s">
        <v>19</v>
      </c>
      <c r="G28" s="4">
        <v>2024.0</v>
      </c>
      <c r="H28" s="34">
        <v>83.0</v>
      </c>
      <c r="I28" s="34">
        <v>83.0</v>
      </c>
      <c r="J28" s="34">
        <v>85.0</v>
      </c>
      <c r="K28" s="34">
        <v>85.0</v>
      </c>
      <c r="L28" s="34">
        <v>83.0</v>
      </c>
      <c r="M28" s="34">
        <v>83.0</v>
      </c>
      <c r="N28" s="34">
        <v>70.0</v>
      </c>
      <c r="O28" s="34">
        <v>85.0</v>
      </c>
      <c r="P28" s="35">
        <f t="shared" si="1"/>
        <v>82.125</v>
      </c>
      <c r="Q28" s="17"/>
      <c r="R28" s="11"/>
    </row>
    <row r="29">
      <c r="C29" s="19">
        <v>20.0</v>
      </c>
      <c r="D29" s="12" t="s">
        <v>45</v>
      </c>
      <c r="E29" s="4" t="s">
        <v>23</v>
      </c>
      <c r="F29" s="14" t="s">
        <v>21</v>
      </c>
      <c r="G29" s="4">
        <v>2024.0</v>
      </c>
      <c r="H29" s="34">
        <v>90.0</v>
      </c>
      <c r="I29" s="34">
        <v>88.0</v>
      </c>
      <c r="J29" s="34">
        <v>85.0</v>
      </c>
      <c r="K29" s="34">
        <v>90.0</v>
      </c>
      <c r="L29" s="34">
        <v>88.0</v>
      </c>
      <c r="M29" s="34">
        <v>88.0</v>
      </c>
      <c r="N29" s="34">
        <v>80.0</v>
      </c>
      <c r="O29" s="34">
        <v>90.0</v>
      </c>
      <c r="P29" s="35">
        <f t="shared" si="1"/>
        <v>87.375</v>
      </c>
      <c r="Q29" s="16"/>
      <c r="R29" s="11"/>
    </row>
    <row r="30">
      <c r="C30" s="19">
        <v>21.0</v>
      </c>
      <c r="D30" s="12" t="s">
        <v>46</v>
      </c>
      <c r="E30" s="13" t="s">
        <v>18</v>
      </c>
      <c r="F30" s="14" t="s">
        <v>19</v>
      </c>
      <c r="G30" s="4">
        <v>2024.0</v>
      </c>
      <c r="H30" s="34">
        <v>85.0</v>
      </c>
      <c r="I30" s="34">
        <v>85.0</v>
      </c>
      <c r="J30" s="34">
        <v>85.0</v>
      </c>
      <c r="K30" s="34">
        <v>85.0</v>
      </c>
      <c r="L30" s="34">
        <v>85.0</v>
      </c>
      <c r="M30" s="34">
        <v>88.0</v>
      </c>
      <c r="N30" s="34">
        <v>70.0</v>
      </c>
      <c r="O30" s="34">
        <v>85.0</v>
      </c>
      <c r="P30" s="35">
        <f t="shared" si="1"/>
        <v>83.5</v>
      </c>
      <c r="Q30" s="16"/>
      <c r="R30" s="11"/>
    </row>
    <row r="31">
      <c r="C31" s="19">
        <v>22.0</v>
      </c>
      <c r="D31" s="12" t="s">
        <v>47</v>
      </c>
      <c r="E31" s="4" t="s">
        <v>23</v>
      </c>
      <c r="F31" s="14" t="s">
        <v>19</v>
      </c>
      <c r="G31" s="4">
        <v>2024.0</v>
      </c>
      <c r="H31" s="34">
        <v>85.0</v>
      </c>
      <c r="I31" s="34">
        <v>85.0</v>
      </c>
      <c r="J31" s="34">
        <v>85.0</v>
      </c>
      <c r="K31" s="34">
        <v>85.0</v>
      </c>
      <c r="L31" s="34">
        <v>85.0</v>
      </c>
      <c r="M31" s="34">
        <v>80.0</v>
      </c>
      <c r="N31" s="34">
        <v>70.0</v>
      </c>
      <c r="O31" s="34">
        <v>80.0</v>
      </c>
      <c r="P31" s="35">
        <f t="shared" si="1"/>
        <v>81.875</v>
      </c>
      <c r="Q31" s="17"/>
      <c r="R31" s="11"/>
    </row>
    <row r="32">
      <c r="C32" s="19">
        <v>23.0</v>
      </c>
      <c r="D32" s="12" t="s">
        <v>48</v>
      </c>
      <c r="E32" s="13" t="s">
        <v>18</v>
      </c>
      <c r="F32" s="14" t="s">
        <v>19</v>
      </c>
      <c r="G32" s="4">
        <v>2024.0</v>
      </c>
      <c r="H32" s="34">
        <v>90.0</v>
      </c>
      <c r="I32" s="34">
        <v>88.0</v>
      </c>
      <c r="J32" s="34">
        <v>85.0</v>
      </c>
      <c r="K32" s="34">
        <v>88.0</v>
      </c>
      <c r="L32" s="34">
        <v>85.0</v>
      </c>
      <c r="M32" s="34">
        <v>88.0</v>
      </c>
      <c r="N32" s="34">
        <v>70.0</v>
      </c>
      <c r="O32" s="34">
        <v>85.0</v>
      </c>
      <c r="P32" s="35">
        <f t="shared" si="1"/>
        <v>84.875</v>
      </c>
      <c r="Q32" s="16"/>
      <c r="R32" s="11"/>
    </row>
    <row r="33">
      <c r="C33" s="4">
        <v>24.0</v>
      </c>
      <c r="D33" s="12" t="s">
        <v>49</v>
      </c>
      <c r="E33" s="4" t="s">
        <v>23</v>
      </c>
      <c r="F33" s="22" t="s">
        <v>26</v>
      </c>
      <c r="G33" s="20">
        <v>2024.0</v>
      </c>
      <c r="H33" s="34">
        <v>87.0</v>
      </c>
      <c r="I33" s="34">
        <v>87.0</v>
      </c>
      <c r="J33" s="34">
        <v>85.0</v>
      </c>
      <c r="K33" s="34">
        <v>89.0</v>
      </c>
      <c r="L33" s="34">
        <v>87.0</v>
      </c>
      <c r="M33" s="34">
        <v>87.0</v>
      </c>
      <c r="N33" s="34">
        <v>70.0</v>
      </c>
      <c r="O33" s="34">
        <v>87.0</v>
      </c>
      <c r="P33" s="35">
        <f t="shared" si="1"/>
        <v>84.875</v>
      </c>
      <c r="Q33" s="16"/>
      <c r="R33" s="11"/>
    </row>
    <row r="34">
      <c r="C34" s="19">
        <v>25.0</v>
      </c>
      <c r="D34" s="12" t="s">
        <v>50</v>
      </c>
      <c r="E34" s="4" t="s">
        <v>18</v>
      </c>
      <c r="F34" s="17" t="s">
        <v>31</v>
      </c>
      <c r="G34" s="15">
        <v>2024.0</v>
      </c>
      <c r="H34" s="34">
        <v>86.0</v>
      </c>
      <c r="I34" s="34">
        <v>86.0</v>
      </c>
      <c r="J34" s="34">
        <v>86.0</v>
      </c>
      <c r="K34" s="34">
        <v>86.0</v>
      </c>
      <c r="L34" s="34">
        <v>86.0</v>
      </c>
      <c r="M34" s="34">
        <v>86.0</v>
      </c>
      <c r="N34" s="34">
        <v>70.0</v>
      </c>
      <c r="O34" s="34">
        <v>86.0</v>
      </c>
      <c r="P34" s="35">
        <f t="shared" si="1"/>
        <v>84</v>
      </c>
      <c r="Q34" s="17"/>
      <c r="R34" s="11"/>
    </row>
    <row r="35">
      <c r="C35" s="19">
        <v>26.0</v>
      </c>
      <c r="D35" s="12" t="s">
        <v>51</v>
      </c>
      <c r="E35" s="13" t="s">
        <v>23</v>
      </c>
      <c r="F35" s="17" t="s">
        <v>31</v>
      </c>
      <c r="G35" s="15">
        <v>2024.0</v>
      </c>
      <c r="H35" s="34">
        <v>88.0</v>
      </c>
      <c r="I35" s="34">
        <v>88.0</v>
      </c>
      <c r="J35" s="34">
        <v>88.0</v>
      </c>
      <c r="K35" s="34">
        <v>88.0</v>
      </c>
      <c r="L35" s="34">
        <v>88.0</v>
      </c>
      <c r="M35" s="34">
        <v>88.0</v>
      </c>
      <c r="N35" s="34">
        <v>90.0</v>
      </c>
      <c r="O35" s="34">
        <v>88.0</v>
      </c>
      <c r="P35" s="35">
        <f t="shared" si="1"/>
        <v>88.25</v>
      </c>
      <c r="Q35" s="16"/>
      <c r="R35" s="11"/>
    </row>
    <row r="36">
      <c r="C36" s="19">
        <v>27.0</v>
      </c>
      <c r="D36" s="12" t="s">
        <v>52</v>
      </c>
      <c r="E36" s="4" t="s">
        <v>18</v>
      </c>
      <c r="F36" s="17" t="s">
        <v>21</v>
      </c>
      <c r="G36" s="15">
        <v>2024.0</v>
      </c>
      <c r="H36" s="34">
        <v>90.0</v>
      </c>
      <c r="I36" s="34">
        <v>89.0</v>
      </c>
      <c r="J36" s="34">
        <v>85.0</v>
      </c>
      <c r="K36" s="34">
        <v>90.0</v>
      </c>
      <c r="L36" s="34">
        <v>90.0</v>
      </c>
      <c r="M36" s="34">
        <v>89.0</v>
      </c>
      <c r="N36" s="34">
        <v>90.0</v>
      </c>
      <c r="O36" s="34">
        <v>89.0</v>
      </c>
      <c r="P36" s="35">
        <f t="shared" si="1"/>
        <v>89</v>
      </c>
      <c r="Q36" s="16"/>
      <c r="R36" s="11"/>
    </row>
    <row r="37">
      <c r="C37" s="19">
        <v>28.0</v>
      </c>
      <c r="D37" s="12" t="s">
        <v>53</v>
      </c>
      <c r="E37" s="4" t="s">
        <v>18</v>
      </c>
      <c r="F37" s="17" t="s">
        <v>31</v>
      </c>
      <c r="G37" s="15">
        <v>2024.0</v>
      </c>
      <c r="H37" s="34">
        <v>83.0</v>
      </c>
      <c r="I37" s="34">
        <v>83.0</v>
      </c>
      <c r="J37" s="34">
        <v>83.0</v>
      </c>
      <c r="K37" s="34">
        <v>83.0</v>
      </c>
      <c r="L37" s="34">
        <v>83.0</v>
      </c>
      <c r="M37" s="34">
        <v>83.0</v>
      </c>
      <c r="N37" s="34">
        <v>80.0</v>
      </c>
      <c r="O37" s="34">
        <v>83.0</v>
      </c>
      <c r="P37" s="35">
        <f t="shared" si="1"/>
        <v>82.625</v>
      </c>
      <c r="Q37" s="16"/>
      <c r="R37" s="11"/>
    </row>
    <row r="38">
      <c r="C38" s="19">
        <v>29.0</v>
      </c>
      <c r="D38" s="12" t="s">
        <v>54</v>
      </c>
      <c r="E38" s="4" t="s">
        <v>23</v>
      </c>
      <c r="F38" s="17" t="s">
        <v>21</v>
      </c>
      <c r="G38" s="15">
        <v>2024.0</v>
      </c>
      <c r="H38" s="34">
        <v>86.0</v>
      </c>
      <c r="I38" s="34">
        <v>86.0</v>
      </c>
      <c r="J38" s="34">
        <v>86.0</v>
      </c>
      <c r="K38" s="34">
        <v>86.0</v>
      </c>
      <c r="L38" s="34">
        <v>86.0</v>
      </c>
      <c r="M38" s="34">
        <v>86.0</v>
      </c>
      <c r="N38" s="34">
        <v>70.0</v>
      </c>
      <c r="O38" s="34">
        <v>86.0</v>
      </c>
      <c r="P38" s="35">
        <f t="shared" si="1"/>
        <v>84</v>
      </c>
      <c r="Q38" s="16"/>
      <c r="R38" s="11"/>
    </row>
    <row r="39">
      <c r="C39" s="19">
        <v>30.0</v>
      </c>
      <c r="D39" s="12" t="s">
        <v>55</v>
      </c>
      <c r="E39" s="13" t="s">
        <v>18</v>
      </c>
      <c r="F39" s="17" t="s">
        <v>38</v>
      </c>
      <c r="G39" s="15">
        <v>2023.0</v>
      </c>
      <c r="H39" s="34">
        <v>86.0</v>
      </c>
      <c r="I39" s="34">
        <v>86.0</v>
      </c>
      <c r="J39" s="34">
        <v>85.0</v>
      </c>
      <c r="K39" s="34">
        <v>87.0</v>
      </c>
      <c r="L39" s="34">
        <v>86.0</v>
      </c>
      <c r="M39" s="34">
        <v>86.0</v>
      </c>
      <c r="N39" s="34">
        <v>70.0</v>
      </c>
      <c r="O39" s="34">
        <v>86.0</v>
      </c>
      <c r="P39" s="35">
        <f t="shared" si="1"/>
        <v>84</v>
      </c>
      <c r="Q39" s="17"/>
      <c r="R39" s="11"/>
    </row>
    <row r="40">
      <c r="C40" s="19">
        <v>31.0</v>
      </c>
      <c r="D40" s="12" t="s">
        <v>56</v>
      </c>
      <c r="E40" s="4" t="s">
        <v>23</v>
      </c>
      <c r="F40" s="14" t="s">
        <v>26</v>
      </c>
      <c r="G40" s="4">
        <v>2024.0</v>
      </c>
      <c r="H40" s="34">
        <v>83.0</v>
      </c>
      <c r="I40" s="34">
        <v>83.0</v>
      </c>
      <c r="J40" s="34">
        <v>85.0</v>
      </c>
      <c r="K40" s="34">
        <v>83.0</v>
      </c>
      <c r="L40" s="34">
        <v>83.0</v>
      </c>
      <c r="M40" s="34">
        <v>83.0</v>
      </c>
      <c r="N40" s="34">
        <v>70.0</v>
      </c>
      <c r="O40" s="34">
        <v>83.0</v>
      </c>
      <c r="P40" s="35">
        <f t="shared" si="1"/>
        <v>81.625</v>
      </c>
      <c r="Q40" s="16"/>
      <c r="R40" s="11"/>
    </row>
    <row r="41">
      <c r="C41" s="19">
        <v>32.0</v>
      </c>
      <c r="D41" s="12" t="s">
        <v>57</v>
      </c>
      <c r="E41" s="4" t="s">
        <v>23</v>
      </c>
      <c r="F41" s="17" t="s">
        <v>26</v>
      </c>
      <c r="G41" s="15">
        <v>2024.0</v>
      </c>
      <c r="H41" s="34">
        <v>85.0</v>
      </c>
      <c r="I41" s="34">
        <v>85.0</v>
      </c>
      <c r="J41" s="34">
        <v>85.0</v>
      </c>
      <c r="K41" s="34">
        <v>85.0</v>
      </c>
      <c r="L41" s="34">
        <v>85.0</v>
      </c>
      <c r="M41" s="34">
        <v>85.0</v>
      </c>
      <c r="N41" s="34">
        <v>70.0</v>
      </c>
      <c r="O41" s="34">
        <v>85.0</v>
      </c>
      <c r="P41" s="35">
        <f t="shared" si="1"/>
        <v>83.125</v>
      </c>
      <c r="Q41" s="16"/>
      <c r="R41" s="11"/>
    </row>
    <row r="42">
      <c r="C42" s="19">
        <v>33.0</v>
      </c>
      <c r="D42" s="12" t="s">
        <v>58</v>
      </c>
      <c r="E42" s="4" t="s">
        <v>18</v>
      </c>
      <c r="F42" s="17" t="s">
        <v>38</v>
      </c>
      <c r="G42" s="15">
        <v>2023.0</v>
      </c>
      <c r="H42" s="34">
        <v>90.0</v>
      </c>
      <c r="I42" s="34">
        <v>88.0</v>
      </c>
      <c r="J42" s="34">
        <v>88.0</v>
      </c>
      <c r="K42" s="34">
        <v>90.0</v>
      </c>
      <c r="L42" s="34">
        <v>88.0</v>
      </c>
      <c r="M42" s="34">
        <v>88.0</v>
      </c>
      <c r="N42" s="34">
        <v>70.0</v>
      </c>
      <c r="O42" s="34">
        <v>88.0</v>
      </c>
      <c r="P42" s="35">
        <f t="shared" si="1"/>
        <v>86.25</v>
      </c>
      <c r="Q42" s="16"/>
      <c r="R42" s="11"/>
    </row>
    <row r="43">
      <c r="C43" s="19">
        <v>34.0</v>
      </c>
      <c r="D43" s="12" t="s">
        <v>59</v>
      </c>
      <c r="E43" s="4" t="s">
        <v>23</v>
      </c>
      <c r="F43" s="17" t="s">
        <v>29</v>
      </c>
      <c r="G43" s="15">
        <v>2023.0</v>
      </c>
      <c r="H43" s="37">
        <v>88.0</v>
      </c>
      <c r="I43" s="37">
        <v>88.0</v>
      </c>
      <c r="J43" s="37">
        <v>88.0</v>
      </c>
      <c r="K43" s="37">
        <v>88.0</v>
      </c>
      <c r="L43" s="37">
        <v>88.0</v>
      </c>
      <c r="M43" s="37">
        <v>88.0</v>
      </c>
      <c r="N43" s="37">
        <v>70.0</v>
      </c>
      <c r="O43" s="37">
        <v>88.0</v>
      </c>
      <c r="P43" s="35">
        <f t="shared" si="1"/>
        <v>85.75</v>
      </c>
      <c r="Q43" s="17"/>
      <c r="R43" s="11"/>
    </row>
    <row r="44">
      <c r="C44" s="19">
        <v>35.0</v>
      </c>
      <c r="D44" s="12" t="s">
        <v>60</v>
      </c>
      <c r="E44" s="13" t="s">
        <v>18</v>
      </c>
      <c r="F44" s="17" t="s">
        <v>19</v>
      </c>
      <c r="G44" s="15">
        <v>2024.0</v>
      </c>
      <c r="H44" s="34">
        <v>89.0</v>
      </c>
      <c r="I44" s="34">
        <v>89.0</v>
      </c>
      <c r="J44" s="34">
        <v>89.0</v>
      </c>
      <c r="K44" s="34">
        <v>89.0</v>
      </c>
      <c r="L44" s="34">
        <v>89.0</v>
      </c>
      <c r="M44" s="34">
        <v>89.0</v>
      </c>
      <c r="N44" s="34">
        <v>80.0</v>
      </c>
      <c r="O44" s="34">
        <v>89.0</v>
      </c>
      <c r="P44" s="35">
        <f t="shared" si="1"/>
        <v>87.875</v>
      </c>
      <c r="Q44" s="16"/>
      <c r="R44" s="11"/>
    </row>
    <row r="45">
      <c r="C45" s="19">
        <v>36.0</v>
      </c>
      <c r="D45" s="12" t="s">
        <v>61</v>
      </c>
      <c r="E45" s="4" t="s">
        <v>23</v>
      </c>
      <c r="F45" s="17" t="s">
        <v>24</v>
      </c>
      <c r="G45" s="15">
        <v>2024.0</v>
      </c>
      <c r="H45" s="34">
        <v>85.0</v>
      </c>
      <c r="I45" s="34">
        <v>85.0</v>
      </c>
      <c r="J45" s="34">
        <v>85.0</v>
      </c>
      <c r="K45" s="34">
        <v>85.0</v>
      </c>
      <c r="L45" s="34">
        <v>85.0</v>
      </c>
      <c r="M45" s="34">
        <v>85.0</v>
      </c>
      <c r="N45" s="34">
        <v>70.0</v>
      </c>
      <c r="O45" s="34">
        <v>85.0</v>
      </c>
      <c r="P45" s="35">
        <f t="shared" si="1"/>
        <v>83.125</v>
      </c>
      <c r="Q45" s="16"/>
      <c r="R45" s="11"/>
    </row>
    <row r="46">
      <c r="C46" s="19">
        <v>37.0</v>
      </c>
      <c r="D46" s="12" t="s">
        <v>62</v>
      </c>
      <c r="E46" s="4" t="s">
        <v>18</v>
      </c>
      <c r="F46" s="17" t="s">
        <v>38</v>
      </c>
      <c r="G46" s="15">
        <v>2023.0</v>
      </c>
      <c r="H46" s="34">
        <v>87.0</v>
      </c>
      <c r="I46" s="34">
        <v>85.0</v>
      </c>
      <c r="J46" s="34">
        <v>85.0</v>
      </c>
      <c r="K46" s="34">
        <v>85.0</v>
      </c>
      <c r="L46" s="34">
        <v>87.0</v>
      </c>
      <c r="M46" s="34">
        <v>87.0</v>
      </c>
      <c r="N46" s="34">
        <v>70.0</v>
      </c>
      <c r="O46" s="34">
        <v>87.0</v>
      </c>
      <c r="P46" s="35">
        <f t="shared" si="1"/>
        <v>84.125</v>
      </c>
      <c r="Q46" s="17"/>
      <c r="R46" s="11"/>
    </row>
    <row r="47">
      <c r="C47" s="19">
        <v>38.0</v>
      </c>
      <c r="D47" s="12" t="s">
        <v>63</v>
      </c>
      <c r="E47" s="4" t="s">
        <v>23</v>
      </c>
      <c r="F47" s="17" t="s">
        <v>19</v>
      </c>
      <c r="G47" s="15">
        <v>2024.0</v>
      </c>
      <c r="H47" s="34">
        <v>87.0</v>
      </c>
      <c r="I47" s="34">
        <v>88.0</v>
      </c>
      <c r="J47" s="34">
        <v>85.0</v>
      </c>
      <c r="K47" s="34">
        <v>88.0</v>
      </c>
      <c r="L47" s="34">
        <v>87.0</v>
      </c>
      <c r="M47" s="34">
        <v>87.0</v>
      </c>
      <c r="N47" s="34">
        <v>80.0</v>
      </c>
      <c r="O47" s="34">
        <v>87.0</v>
      </c>
      <c r="P47" s="35">
        <f t="shared" si="1"/>
        <v>86.125</v>
      </c>
      <c r="Q47" s="16"/>
      <c r="R47" s="11"/>
    </row>
    <row r="48">
      <c r="C48" s="19">
        <v>39.0</v>
      </c>
      <c r="D48" s="12" t="s">
        <v>64</v>
      </c>
      <c r="E48" s="13" t="s">
        <v>18</v>
      </c>
      <c r="F48" s="17" t="s">
        <v>19</v>
      </c>
      <c r="G48" s="15">
        <v>2024.0</v>
      </c>
      <c r="H48" s="34">
        <v>90.0</v>
      </c>
      <c r="I48" s="34">
        <v>90.0</v>
      </c>
      <c r="J48" s="34">
        <v>85.0</v>
      </c>
      <c r="K48" s="34">
        <v>90.0</v>
      </c>
      <c r="L48" s="34">
        <v>88.0</v>
      </c>
      <c r="M48" s="34">
        <v>88.0</v>
      </c>
      <c r="N48" s="34">
        <v>90.0</v>
      </c>
      <c r="O48" s="34">
        <v>90.0</v>
      </c>
      <c r="P48" s="35">
        <f t="shared" si="1"/>
        <v>88.875</v>
      </c>
      <c r="Q48" s="16"/>
      <c r="R48" s="11"/>
    </row>
    <row r="49">
      <c r="C49" s="19">
        <v>40.0</v>
      </c>
      <c r="D49" s="12" t="s">
        <v>65</v>
      </c>
      <c r="E49" s="4" t="s">
        <v>23</v>
      </c>
      <c r="F49" s="17" t="s">
        <v>19</v>
      </c>
      <c r="G49" s="15">
        <v>2024.0</v>
      </c>
      <c r="H49" s="34">
        <v>87.0</v>
      </c>
      <c r="I49" s="34">
        <v>87.0</v>
      </c>
      <c r="J49" s="34">
        <v>87.0</v>
      </c>
      <c r="K49" s="34">
        <v>87.0</v>
      </c>
      <c r="L49" s="34">
        <v>87.0</v>
      </c>
      <c r="M49" s="34">
        <v>87.0</v>
      </c>
      <c r="N49" s="34">
        <v>90.0</v>
      </c>
      <c r="O49" s="34">
        <v>87.0</v>
      </c>
      <c r="P49" s="35">
        <f t="shared" si="1"/>
        <v>87.375</v>
      </c>
      <c r="Q49" s="16"/>
      <c r="R49" s="11"/>
    </row>
    <row r="50">
      <c r="C50" s="19">
        <v>41.0</v>
      </c>
      <c r="D50" s="12" t="s">
        <v>66</v>
      </c>
      <c r="E50" s="13" t="s">
        <v>18</v>
      </c>
      <c r="F50" s="17" t="s">
        <v>19</v>
      </c>
      <c r="G50" s="15">
        <v>2024.0</v>
      </c>
      <c r="H50" s="34">
        <v>87.0</v>
      </c>
      <c r="I50" s="34">
        <v>87.0</v>
      </c>
      <c r="J50" s="34">
        <v>87.0</v>
      </c>
      <c r="K50" s="34">
        <v>87.0</v>
      </c>
      <c r="L50" s="34">
        <v>90.0</v>
      </c>
      <c r="M50" s="34">
        <v>87.0</v>
      </c>
      <c r="N50" s="34">
        <v>70.0</v>
      </c>
      <c r="O50" s="34">
        <v>87.0</v>
      </c>
      <c r="P50" s="35">
        <f t="shared" si="1"/>
        <v>85.25</v>
      </c>
      <c r="Q50" s="16"/>
      <c r="R50" s="11"/>
    </row>
    <row r="51">
      <c r="C51" s="19">
        <v>42.0</v>
      </c>
      <c r="D51" s="12" t="s">
        <v>67</v>
      </c>
      <c r="E51" s="4" t="s">
        <v>23</v>
      </c>
      <c r="F51" s="17" t="s">
        <v>19</v>
      </c>
      <c r="G51" s="15">
        <v>2024.0</v>
      </c>
      <c r="H51" s="34">
        <v>85.0</v>
      </c>
      <c r="I51" s="34">
        <v>85.0</v>
      </c>
      <c r="J51" s="34">
        <v>85.0</v>
      </c>
      <c r="K51" s="34">
        <v>85.0</v>
      </c>
      <c r="L51" s="34">
        <v>85.0</v>
      </c>
      <c r="M51" s="34">
        <v>85.0</v>
      </c>
      <c r="N51" s="34">
        <v>70.0</v>
      </c>
      <c r="O51" s="34">
        <v>85.0</v>
      </c>
      <c r="P51" s="35">
        <f t="shared" si="1"/>
        <v>83.125</v>
      </c>
      <c r="Q51" s="17"/>
      <c r="R51" s="11"/>
    </row>
    <row r="52">
      <c r="C52" s="19">
        <v>43.0</v>
      </c>
      <c r="D52" s="12" t="s">
        <v>68</v>
      </c>
      <c r="E52" s="13" t="s">
        <v>18</v>
      </c>
      <c r="F52" s="17" t="s">
        <v>19</v>
      </c>
      <c r="G52" s="15">
        <v>2024.0</v>
      </c>
      <c r="H52" s="34">
        <v>88.0</v>
      </c>
      <c r="I52" s="34">
        <v>88.0</v>
      </c>
      <c r="J52" s="34">
        <v>90.0</v>
      </c>
      <c r="K52" s="34">
        <v>88.0</v>
      </c>
      <c r="L52" s="34">
        <v>88.0</v>
      </c>
      <c r="M52" s="34">
        <v>88.0</v>
      </c>
      <c r="N52" s="34">
        <v>70.0</v>
      </c>
      <c r="O52" s="34">
        <v>88.0</v>
      </c>
      <c r="P52" s="35">
        <f t="shared" si="1"/>
        <v>86</v>
      </c>
      <c r="Q52" s="16"/>
      <c r="R52" s="11"/>
    </row>
    <row r="53">
      <c r="C53" s="19">
        <v>44.0</v>
      </c>
      <c r="D53" s="12" t="s">
        <v>69</v>
      </c>
      <c r="E53" s="4" t="s">
        <v>23</v>
      </c>
      <c r="F53" s="17" t="s">
        <v>19</v>
      </c>
      <c r="G53" s="15">
        <v>2024.0</v>
      </c>
      <c r="H53" s="34">
        <v>87.0</v>
      </c>
      <c r="I53" s="34">
        <v>87.0</v>
      </c>
      <c r="J53" s="34">
        <v>87.0</v>
      </c>
      <c r="K53" s="34">
        <v>87.0</v>
      </c>
      <c r="L53" s="34">
        <v>87.0</v>
      </c>
      <c r="M53" s="34">
        <v>87.0</v>
      </c>
      <c r="N53" s="34">
        <v>70.0</v>
      </c>
      <c r="O53" s="34">
        <v>87.0</v>
      </c>
      <c r="P53" s="35">
        <f t="shared" si="1"/>
        <v>84.875</v>
      </c>
      <c r="Q53" s="16"/>
      <c r="R53" s="11"/>
    </row>
    <row r="54">
      <c r="C54" s="19">
        <v>45.0</v>
      </c>
      <c r="D54" s="12" t="s">
        <v>70</v>
      </c>
      <c r="E54" s="13" t="s">
        <v>18</v>
      </c>
      <c r="F54" s="14" t="s">
        <v>19</v>
      </c>
      <c r="G54" s="4">
        <v>2023.0</v>
      </c>
      <c r="H54" s="34">
        <v>89.0</v>
      </c>
      <c r="I54" s="34">
        <v>89.0</v>
      </c>
      <c r="J54" s="34">
        <v>88.0</v>
      </c>
      <c r="K54" s="34">
        <v>89.0</v>
      </c>
      <c r="L54" s="34">
        <v>90.0</v>
      </c>
      <c r="M54" s="34">
        <v>89.0</v>
      </c>
      <c r="N54" s="34">
        <v>70.0</v>
      </c>
      <c r="O54" s="34">
        <v>89.0</v>
      </c>
      <c r="P54" s="35">
        <f t="shared" si="1"/>
        <v>86.625</v>
      </c>
      <c r="Q54" s="16"/>
      <c r="R54" s="11"/>
    </row>
    <row r="55">
      <c r="C55" s="19">
        <v>46.0</v>
      </c>
      <c r="D55" s="12" t="s">
        <v>71</v>
      </c>
      <c r="E55" s="13" t="s">
        <v>23</v>
      </c>
      <c r="F55" s="17" t="s">
        <v>19</v>
      </c>
      <c r="G55" s="15">
        <v>2024.0</v>
      </c>
      <c r="H55" s="34">
        <v>88.0</v>
      </c>
      <c r="I55" s="34">
        <v>88.0</v>
      </c>
      <c r="J55" s="34">
        <v>88.0</v>
      </c>
      <c r="K55" s="34">
        <v>88.0</v>
      </c>
      <c r="L55" s="34">
        <v>88.0</v>
      </c>
      <c r="M55" s="34">
        <v>88.0</v>
      </c>
      <c r="N55" s="34">
        <v>70.0</v>
      </c>
      <c r="O55" s="34">
        <v>88.0</v>
      </c>
      <c r="P55" s="35">
        <f t="shared" si="1"/>
        <v>85.75</v>
      </c>
      <c r="Q55" s="16"/>
      <c r="R55" s="11"/>
    </row>
    <row r="56">
      <c r="C56" s="19">
        <v>47.0</v>
      </c>
      <c r="D56" s="12" t="s">
        <v>72</v>
      </c>
      <c r="E56" s="13" t="s">
        <v>18</v>
      </c>
      <c r="F56" s="17" t="s">
        <v>19</v>
      </c>
      <c r="G56" s="15">
        <v>2024.0</v>
      </c>
      <c r="H56" s="34">
        <v>88.0</v>
      </c>
      <c r="I56" s="34">
        <v>88.0</v>
      </c>
      <c r="J56" s="34">
        <v>88.0</v>
      </c>
      <c r="K56" s="34">
        <v>88.0</v>
      </c>
      <c r="L56" s="34">
        <v>88.0</v>
      </c>
      <c r="M56" s="34">
        <v>88.0</v>
      </c>
      <c r="N56" s="34">
        <v>70.0</v>
      </c>
      <c r="O56" s="34">
        <v>88.0</v>
      </c>
      <c r="P56" s="35">
        <f t="shared" si="1"/>
        <v>85.75</v>
      </c>
      <c r="Q56" s="16"/>
      <c r="R56" s="11"/>
    </row>
    <row r="57">
      <c r="C57" s="19">
        <v>48.0</v>
      </c>
      <c r="D57" s="12" t="s">
        <v>73</v>
      </c>
      <c r="E57" s="4" t="s">
        <v>23</v>
      </c>
      <c r="F57" s="17" t="s">
        <v>19</v>
      </c>
      <c r="G57" s="15">
        <v>2023.0</v>
      </c>
      <c r="H57" s="34">
        <v>90.0</v>
      </c>
      <c r="I57" s="34">
        <v>88.0</v>
      </c>
      <c r="J57" s="34">
        <v>90.0</v>
      </c>
      <c r="K57" s="34">
        <v>88.0</v>
      </c>
      <c r="L57" s="34">
        <v>88.0</v>
      </c>
      <c r="M57" s="34">
        <v>88.0</v>
      </c>
      <c r="N57" s="34">
        <v>90.0</v>
      </c>
      <c r="O57" s="34">
        <v>88.0</v>
      </c>
      <c r="P57" s="35">
        <f t="shared" si="1"/>
        <v>88.75</v>
      </c>
      <c r="Q57" s="16"/>
      <c r="R57" s="11"/>
    </row>
    <row r="58">
      <c r="C58" s="19">
        <v>49.0</v>
      </c>
      <c r="D58" s="12" t="s">
        <v>74</v>
      </c>
      <c r="E58" s="13" t="s">
        <v>18</v>
      </c>
      <c r="F58" s="14" t="s">
        <v>19</v>
      </c>
      <c r="G58" s="4">
        <v>2023.0</v>
      </c>
      <c r="H58" s="34">
        <v>86.0</v>
      </c>
      <c r="I58" s="34">
        <v>86.0</v>
      </c>
      <c r="J58" s="34">
        <v>86.0</v>
      </c>
      <c r="K58" s="34">
        <v>86.0</v>
      </c>
      <c r="L58" s="34">
        <v>80.0</v>
      </c>
      <c r="M58" s="34">
        <v>86.0</v>
      </c>
      <c r="N58" s="34">
        <v>70.0</v>
      </c>
      <c r="O58" s="34">
        <v>86.0</v>
      </c>
      <c r="P58" s="35">
        <f t="shared" si="1"/>
        <v>83.25</v>
      </c>
      <c r="Q58" s="16"/>
      <c r="R58" s="11"/>
    </row>
    <row r="59">
      <c r="C59" s="38">
        <v>50.0</v>
      </c>
      <c r="D59" s="12" t="s">
        <v>75</v>
      </c>
      <c r="E59" s="23"/>
      <c r="F59" s="25"/>
      <c r="G59" s="25"/>
      <c r="H59" s="26"/>
      <c r="I59" s="26"/>
      <c r="J59" s="26"/>
      <c r="K59" s="26"/>
      <c r="L59" s="26"/>
      <c r="M59" s="26"/>
      <c r="N59" s="26"/>
      <c r="O59" s="26"/>
      <c r="P59" s="39" t="e">
        <v>#DIV/0!</v>
      </c>
      <c r="Q59" s="25"/>
      <c r="R59" s="1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C63" s="28" t="s">
        <v>76</v>
      </c>
      <c r="D63" s="29"/>
      <c r="E63" s="29"/>
      <c r="F63" s="29"/>
      <c r="G63" s="30"/>
      <c r="H63" s="31">
        <v>0.25</v>
      </c>
      <c r="I63" s="31">
        <v>0.2</v>
      </c>
      <c r="J63" s="31">
        <v>0.3</v>
      </c>
      <c r="K63" s="31">
        <v>0.25</v>
      </c>
      <c r="L63" s="32"/>
      <c r="M63" s="32"/>
      <c r="N63" s="32"/>
      <c r="O63" s="32"/>
      <c r="P63" s="32"/>
      <c r="Q63" s="32"/>
      <c r="R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</sheetData>
  <mergeCells count="3">
    <mergeCell ref="J7:L7"/>
    <mergeCell ref="D8:H8"/>
    <mergeCell ref="C63:G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  <col customWidth="1" min="4" max="4" width="33.0"/>
    <col customWidth="1" min="5" max="5" width="19.38"/>
    <col customWidth="1" min="6" max="6" width="36.25"/>
    <col customWidth="1" min="7" max="7" width="15.88"/>
    <col customWidth="1" min="8" max="8" width="26.88"/>
    <col customWidth="1" min="9" max="9" width="23.0"/>
    <col customWidth="1" min="10" max="11" width="21.88"/>
    <col customWidth="1" min="12" max="12" width="22.5"/>
    <col customWidth="1" min="13" max="13" width="22.0"/>
    <col customWidth="1" min="14" max="14" width="24.88"/>
    <col customWidth="1" min="15" max="15" width="26.88"/>
    <col customWidth="1" min="16" max="16" width="30.0"/>
    <col customWidth="1" min="17" max="17" width="23.63"/>
  </cols>
  <sheetData>
    <row r="7">
      <c r="C7" s="1"/>
      <c r="D7" s="1"/>
      <c r="E7" s="1"/>
      <c r="F7" s="1"/>
      <c r="G7" s="1"/>
      <c r="H7" s="1"/>
      <c r="I7" s="1"/>
      <c r="J7" s="2" t="s">
        <v>0</v>
      </c>
      <c r="M7" s="1"/>
      <c r="N7" s="1"/>
      <c r="O7" s="1"/>
      <c r="P7" s="1"/>
      <c r="Q7" s="1"/>
      <c r="R7" s="1"/>
    </row>
    <row r="8">
      <c r="C8" s="1"/>
      <c r="D8" s="3" t="s">
        <v>82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C9" s="4" t="s">
        <v>2</v>
      </c>
      <c r="D9" s="10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33" t="s">
        <v>78</v>
      </c>
      <c r="M9" s="33" t="s">
        <v>83</v>
      </c>
      <c r="N9" s="33" t="s">
        <v>84</v>
      </c>
      <c r="O9" s="33" t="s">
        <v>85</v>
      </c>
      <c r="P9" s="9" t="s">
        <v>15</v>
      </c>
      <c r="Q9" s="10" t="s">
        <v>16</v>
      </c>
      <c r="R9" s="11"/>
      <c r="S9" s="40">
        <f>ROUND(T7,0)</f>
        <v>0</v>
      </c>
    </row>
    <row r="10">
      <c r="C10" s="19">
        <v>1.0</v>
      </c>
      <c r="D10" s="12" t="s">
        <v>17</v>
      </c>
      <c r="E10" s="13" t="s">
        <v>18</v>
      </c>
      <c r="F10" s="14" t="s">
        <v>19</v>
      </c>
      <c r="G10" s="4">
        <v>2024.0</v>
      </c>
      <c r="H10" s="41">
        <v>85.0</v>
      </c>
      <c r="I10" s="41">
        <v>90.0</v>
      </c>
      <c r="J10" s="41">
        <v>85.0</v>
      </c>
      <c r="K10" s="41">
        <v>88.0</v>
      </c>
      <c r="L10" s="41">
        <v>88.0</v>
      </c>
      <c r="M10" s="41">
        <v>88.0</v>
      </c>
      <c r="N10" s="41">
        <v>88.0</v>
      </c>
      <c r="O10" s="41">
        <v>90.0</v>
      </c>
      <c r="P10" s="35">
        <f t="shared" ref="P10:P58" si="1">(H10+I10+J10+K10+L10+M10+N10+O10)/8</f>
        <v>87.75</v>
      </c>
      <c r="Q10" s="16"/>
      <c r="R10" s="40">
        <f>round(AVERAGE(L10,'Juri 2'!L10),2)</f>
        <v>86.5</v>
      </c>
      <c r="S10" s="40">
        <f>round(AVERAGE(H10,'Juri 2'!H10,'Juri 1'!H10),2)</f>
        <v>85</v>
      </c>
      <c r="T10" s="40">
        <f>round(AVERAGE(I10,'Juri 2'!I10,'Juri 1'!I10),2)</f>
        <v>88.33</v>
      </c>
      <c r="U10" s="40">
        <f>round(AVERAGE(J10,'Juri 2'!J10,'Juri 1'!J10),2)</f>
        <v>85</v>
      </c>
      <c r="V10" s="40">
        <f>round(AVERAGE(K10,'Juri 2'!K10,'Juri 1'!K10),2)</f>
        <v>84.33</v>
      </c>
    </row>
    <row r="11">
      <c r="C11" s="19">
        <v>2.0</v>
      </c>
      <c r="D11" s="12" t="s">
        <v>20</v>
      </c>
      <c r="E11" s="4" t="s">
        <v>18</v>
      </c>
      <c r="F11" s="14" t="s">
        <v>21</v>
      </c>
      <c r="G11" s="4">
        <v>2024.0</v>
      </c>
      <c r="H11" s="41">
        <v>70.0</v>
      </c>
      <c r="I11" s="41">
        <v>70.0</v>
      </c>
      <c r="J11" s="41">
        <v>70.0</v>
      </c>
      <c r="K11" s="41">
        <v>77.0</v>
      </c>
      <c r="L11" s="41">
        <v>70.0</v>
      </c>
      <c r="M11" s="41">
        <v>80.0</v>
      </c>
      <c r="N11" s="41">
        <v>80.0</v>
      </c>
      <c r="O11" s="41">
        <v>80.0</v>
      </c>
      <c r="P11" s="35">
        <f t="shared" si="1"/>
        <v>74.625</v>
      </c>
      <c r="Q11" s="16"/>
      <c r="R11" s="40">
        <f>round(AVERAGE(L11,'Juri 2'!L11),2)</f>
        <v>77.5</v>
      </c>
      <c r="S11" s="40">
        <f>round(AVERAGE(H11,'Juri 2'!H11,'Juri 1'!H11),2)</f>
        <v>77.67</v>
      </c>
      <c r="T11" s="40">
        <f>round(AVERAGE(I11,'Juri 2'!I11,'Juri 1'!I11),2)</f>
        <v>80</v>
      </c>
      <c r="U11" s="40">
        <f>round(AVERAGE(J11,'Juri 2'!J11,'Juri 1'!J11),2)</f>
        <v>79</v>
      </c>
      <c r="V11" s="40">
        <f>round(AVERAGE(K11,'Juri 2'!K11,'Juri 1'!K11),2)</f>
        <v>82.33</v>
      </c>
    </row>
    <row r="12">
      <c r="C12" s="19">
        <v>3.0</v>
      </c>
      <c r="D12" s="12" t="s">
        <v>22</v>
      </c>
      <c r="E12" s="4" t="s">
        <v>23</v>
      </c>
      <c r="F12" s="14" t="s">
        <v>24</v>
      </c>
      <c r="G12" s="4">
        <v>2023.0</v>
      </c>
      <c r="H12" s="41">
        <v>90.0</v>
      </c>
      <c r="I12" s="41">
        <v>85.0</v>
      </c>
      <c r="J12" s="41">
        <v>88.0</v>
      </c>
      <c r="K12" s="41">
        <v>88.0</v>
      </c>
      <c r="L12" s="41">
        <v>90.0</v>
      </c>
      <c r="M12" s="41">
        <v>90.0</v>
      </c>
      <c r="N12" s="41">
        <v>85.0</v>
      </c>
      <c r="O12" s="41">
        <v>89.0</v>
      </c>
      <c r="P12" s="35">
        <f t="shared" si="1"/>
        <v>88.125</v>
      </c>
      <c r="Q12" s="16"/>
      <c r="R12" s="40">
        <f>round(AVERAGE(L12,'Juri 2'!L12),2)</f>
        <v>90</v>
      </c>
      <c r="S12" s="40">
        <f>round(AVERAGE(H12,'Juri 2'!H12,'Juri 1'!H12),2)</f>
        <v>88.33</v>
      </c>
      <c r="T12" s="40">
        <f>round(AVERAGE(I12,'Juri 2'!I12,'Juri 1'!I12),2)</f>
        <v>86</v>
      </c>
      <c r="U12" s="40">
        <f>round(AVERAGE(J12,'Juri 2'!J12,'Juri 1'!J12),2)</f>
        <v>87.67</v>
      </c>
      <c r="V12" s="40">
        <f>round(AVERAGE(K12,'Juri 2'!K12,'Juri 1'!K12),2)</f>
        <v>87.67</v>
      </c>
    </row>
    <row r="13">
      <c r="C13" s="19">
        <v>4.0</v>
      </c>
      <c r="D13" s="12" t="s">
        <v>25</v>
      </c>
      <c r="E13" s="4" t="s">
        <v>23</v>
      </c>
      <c r="F13" s="14" t="s">
        <v>26</v>
      </c>
      <c r="G13" s="4">
        <v>2024.0</v>
      </c>
      <c r="H13" s="41">
        <v>90.0</v>
      </c>
      <c r="I13" s="41">
        <v>90.0</v>
      </c>
      <c r="J13" s="41">
        <v>85.0</v>
      </c>
      <c r="K13" s="41">
        <v>89.0</v>
      </c>
      <c r="L13" s="41">
        <v>88.0</v>
      </c>
      <c r="M13" s="41">
        <v>88.0</v>
      </c>
      <c r="N13" s="41">
        <v>85.0</v>
      </c>
      <c r="O13" s="41">
        <v>85.0</v>
      </c>
      <c r="P13" s="35">
        <f t="shared" si="1"/>
        <v>87.5</v>
      </c>
      <c r="Q13" s="16"/>
      <c r="R13" s="40">
        <f>round(AVERAGE(L13,'Juri 2'!L13),2)</f>
        <v>86.5</v>
      </c>
      <c r="S13" s="40">
        <f>round(AVERAGE(H13,'Juri 2'!H13,'Juri 1'!H13),2)</f>
        <v>86</v>
      </c>
      <c r="T13" s="40">
        <f>round(AVERAGE(I13,'Juri 2'!I13,'Juri 1'!I13),2)</f>
        <v>87</v>
      </c>
      <c r="U13" s="40">
        <f>round(AVERAGE(J13,'Juri 2'!J13,'Juri 1'!J13),2)</f>
        <v>85</v>
      </c>
      <c r="V13" s="40">
        <f>round(AVERAGE(K13,'Juri 2'!K13,'Juri 1'!K13),2)</f>
        <v>88</v>
      </c>
    </row>
    <row r="14">
      <c r="C14" s="19">
        <v>5.0</v>
      </c>
      <c r="D14" s="12" t="s">
        <v>27</v>
      </c>
      <c r="E14" s="13" t="s">
        <v>18</v>
      </c>
      <c r="F14" s="14" t="s">
        <v>24</v>
      </c>
      <c r="G14" s="4">
        <v>2024.0</v>
      </c>
      <c r="H14" s="41">
        <v>85.0</v>
      </c>
      <c r="I14" s="41">
        <v>83.0</v>
      </c>
      <c r="J14" s="41">
        <v>83.0</v>
      </c>
      <c r="K14" s="41">
        <v>81.0</v>
      </c>
      <c r="L14" s="41">
        <v>84.0</v>
      </c>
      <c r="M14" s="41">
        <v>82.0</v>
      </c>
      <c r="N14" s="41">
        <v>83.0</v>
      </c>
      <c r="O14" s="41">
        <v>89.0</v>
      </c>
      <c r="P14" s="35">
        <f t="shared" si="1"/>
        <v>83.75</v>
      </c>
      <c r="Q14" s="16"/>
      <c r="R14" s="40">
        <f>round(AVERAGE(L14,'Juri 2'!L14),2)</f>
        <v>86</v>
      </c>
      <c r="S14" s="40">
        <f>round(AVERAGE(H14,'Juri 2'!H14,'Juri 1'!H14),2)</f>
        <v>83.67</v>
      </c>
      <c r="T14" s="40">
        <f>round(AVERAGE(I14,'Juri 2'!I14,'Juri 1'!I14),2)</f>
        <v>86</v>
      </c>
      <c r="U14" s="40">
        <f>round(AVERAGE(J14,'Juri 2'!J14,'Juri 1'!J14),2)</f>
        <v>86</v>
      </c>
      <c r="V14" s="40">
        <f>round(AVERAGE(K14,'Juri 2'!K14,'Juri 1'!K14),2)</f>
        <v>83</v>
      </c>
    </row>
    <row r="15">
      <c r="C15" s="19">
        <v>6.0</v>
      </c>
      <c r="D15" s="12" t="s">
        <v>28</v>
      </c>
      <c r="E15" s="4" t="s">
        <v>18</v>
      </c>
      <c r="F15" s="17" t="s">
        <v>29</v>
      </c>
      <c r="G15" s="15">
        <v>2023.0</v>
      </c>
      <c r="H15" s="41">
        <v>93.0</v>
      </c>
      <c r="I15" s="41">
        <v>94.0</v>
      </c>
      <c r="J15" s="41">
        <v>90.0</v>
      </c>
      <c r="K15" s="41">
        <v>90.0</v>
      </c>
      <c r="L15" s="41">
        <v>92.0</v>
      </c>
      <c r="M15" s="41">
        <v>89.0</v>
      </c>
      <c r="N15" s="41">
        <v>89.0</v>
      </c>
      <c r="O15" s="41">
        <v>90.0</v>
      </c>
      <c r="P15" s="35">
        <f t="shared" si="1"/>
        <v>90.875</v>
      </c>
      <c r="Q15" s="16"/>
      <c r="R15" s="40">
        <f>round(AVERAGE(L15,'Juri 2'!L15),2)</f>
        <v>89.5</v>
      </c>
      <c r="S15" s="40">
        <f>round(AVERAGE(H15,'Juri 2'!H15,'Juri 1'!H15),2)</f>
        <v>88.33</v>
      </c>
      <c r="T15" s="40">
        <f>round(AVERAGE(I15,'Juri 2'!I15,'Juri 1'!I15),2)</f>
        <v>88.67</v>
      </c>
      <c r="U15" s="40">
        <f>round(AVERAGE(J15,'Juri 2'!J15,'Juri 1'!J15),2)</f>
        <v>89</v>
      </c>
      <c r="V15" s="40">
        <f>round(AVERAGE(K15,'Juri 2'!K15,'Juri 1'!K15),2)</f>
        <v>87.33</v>
      </c>
    </row>
    <row r="16">
      <c r="C16" s="19">
        <v>7.0</v>
      </c>
      <c r="D16" s="12" t="s">
        <v>30</v>
      </c>
      <c r="E16" s="4" t="s">
        <v>23</v>
      </c>
      <c r="F16" s="14" t="s">
        <v>31</v>
      </c>
      <c r="G16" s="4">
        <v>2024.0</v>
      </c>
      <c r="H16" s="41">
        <v>90.0</v>
      </c>
      <c r="I16" s="41">
        <v>90.0</v>
      </c>
      <c r="J16" s="41">
        <v>90.0</v>
      </c>
      <c r="K16" s="41">
        <v>90.0</v>
      </c>
      <c r="L16" s="41">
        <v>88.0</v>
      </c>
      <c r="M16" s="41">
        <v>90.0</v>
      </c>
      <c r="N16" s="41">
        <v>88.0</v>
      </c>
      <c r="O16" s="41">
        <v>90.0</v>
      </c>
      <c r="P16" s="35">
        <f t="shared" si="1"/>
        <v>89.5</v>
      </c>
      <c r="Q16" s="16"/>
      <c r="R16" s="40">
        <f>round(AVERAGE(L16,'Juri 2'!L16),2)</f>
        <v>88</v>
      </c>
      <c r="S16" s="40">
        <f>round(AVERAGE(H16,'Juri 2'!H16,'Juri 1'!H16),2)</f>
        <v>87.67</v>
      </c>
      <c r="T16" s="40">
        <f>round(AVERAGE(I16,'Juri 2'!I16,'Juri 1'!I16),2)</f>
        <v>86.67</v>
      </c>
      <c r="U16" s="40">
        <f>round(AVERAGE(J16,'Juri 2'!J16,'Juri 1'!J16),2)</f>
        <v>86.67</v>
      </c>
      <c r="V16" s="40">
        <f>round(AVERAGE(K16,'Juri 2'!K16,'Juri 1'!K16),2)</f>
        <v>88.33</v>
      </c>
    </row>
    <row r="17">
      <c r="C17" s="19">
        <v>8.0</v>
      </c>
      <c r="D17" s="12" t="s">
        <v>32</v>
      </c>
      <c r="E17" s="13" t="s">
        <v>18</v>
      </c>
      <c r="F17" s="14" t="s">
        <v>24</v>
      </c>
      <c r="G17" s="4">
        <v>2024.0</v>
      </c>
      <c r="H17" s="41">
        <v>80.0</v>
      </c>
      <c r="I17" s="41">
        <v>80.0</v>
      </c>
      <c r="J17" s="41">
        <v>83.0</v>
      </c>
      <c r="K17" s="41">
        <v>80.0</v>
      </c>
      <c r="L17" s="41">
        <v>78.0</v>
      </c>
      <c r="M17" s="41">
        <v>70.0</v>
      </c>
      <c r="N17" s="41">
        <v>77.0</v>
      </c>
      <c r="O17" s="41">
        <v>90.0</v>
      </c>
      <c r="P17" s="35">
        <f t="shared" si="1"/>
        <v>79.75</v>
      </c>
      <c r="Q17" s="17"/>
      <c r="R17" s="40">
        <f>round(AVERAGE(L17,'Juri 2'!L17),2)</f>
        <v>81.5</v>
      </c>
      <c r="S17" s="40">
        <f>round(AVERAGE(H17,'Juri 2'!H17,'Juri 1'!H17),2)</f>
        <v>80.67</v>
      </c>
      <c r="T17" s="40">
        <f>round(AVERAGE(I17,'Juri 2'!I17,'Juri 1'!I17),2)</f>
        <v>83.33</v>
      </c>
      <c r="U17" s="40">
        <f>round(AVERAGE(J17,'Juri 2'!J17,'Juri 1'!J17),2)</f>
        <v>83.33</v>
      </c>
      <c r="V17" s="40">
        <f>round(AVERAGE(K17,'Juri 2'!K17,'Juri 1'!K17),2)</f>
        <v>81.67</v>
      </c>
    </row>
    <row r="18">
      <c r="C18" s="19">
        <v>9.0</v>
      </c>
      <c r="D18" s="12" t="s">
        <v>33</v>
      </c>
      <c r="E18" s="13" t="s">
        <v>23</v>
      </c>
      <c r="F18" s="14" t="s">
        <v>29</v>
      </c>
      <c r="G18" s="4">
        <v>2024.0</v>
      </c>
      <c r="H18" s="41">
        <v>95.0</v>
      </c>
      <c r="I18" s="41">
        <v>90.0</v>
      </c>
      <c r="J18" s="41">
        <v>90.0</v>
      </c>
      <c r="K18" s="41">
        <v>90.0</v>
      </c>
      <c r="L18" s="41">
        <v>90.0</v>
      </c>
      <c r="M18" s="41">
        <v>90.0</v>
      </c>
      <c r="N18" s="41">
        <v>90.0</v>
      </c>
      <c r="O18" s="41">
        <v>90.0</v>
      </c>
      <c r="P18" s="35">
        <f t="shared" si="1"/>
        <v>90.625</v>
      </c>
      <c r="Q18" s="16"/>
      <c r="R18" s="40">
        <f>round(AVERAGE(L18,'Juri 2'!L18),2)</f>
        <v>87.5</v>
      </c>
      <c r="S18" s="40">
        <f>round(AVERAGE(H18,'Juri 2'!H18,'Juri 1'!H18),2)</f>
        <v>92.67</v>
      </c>
      <c r="T18" s="40">
        <f>round(AVERAGE(I18,'Juri 2'!I18,'Juri 1'!I18),2)</f>
        <v>85.67</v>
      </c>
      <c r="U18" s="40">
        <f>round(AVERAGE(J18,'Juri 2'!J18,'Juri 1'!J18),2)</f>
        <v>87.33</v>
      </c>
      <c r="V18" s="40">
        <f>round(AVERAGE(K18,'Juri 2'!K18,'Juri 1'!K18),2)</f>
        <v>84.33</v>
      </c>
    </row>
    <row r="19">
      <c r="C19" s="19">
        <v>10.0</v>
      </c>
      <c r="D19" s="12" t="s">
        <v>34</v>
      </c>
      <c r="E19" s="13" t="s">
        <v>18</v>
      </c>
      <c r="F19" s="14" t="s">
        <v>19</v>
      </c>
      <c r="G19" s="4">
        <v>2024.0</v>
      </c>
      <c r="H19" s="41">
        <v>85.0</v>
      </c>
      <c r="I19" s="41">
        <v>85.0</v>
      </c>
      <c r="J19" s="41">
        <v>85.0</v>
      </c>
      <c r="K19" s="41">
        <v>89.0</v>
      </c>
      <c r="L19" s="41">
        <v>90.0</v>
      </c>
      <c r="M19" s="41">
        <v>80.0</v>
      </c>
      <c r="N19" s="41">
        <v>85.0</v>
      </c>
      <c r="O19" s="41">
        <v>90.0</v>
      </c>
      <c r="P19" s="35">
        <f t="shared" si="1"/>
        <v>86.125</v>
      </c>
      <c r="Q19" s="16"/>
      <c r="R19" s="40">
        <f>round(AVERAGE(L19,'Juri 2'!L19),2)</f>
        <v>89</v>
      </c>
      <c r="S19" s="40">
        <f>round(AVERAGE(H19,'Juri 2'!H19,'Juri 1'!H19),2)</f>
        <v>85</v>
      </c>
      <c r="T19" s="40">
        <f>round(AVERAGE(I19,'Juri 2'!I19,'Juri 1'!I19),2)</f>
        <v>84</v>
      </c>
      <c r="U19" s="40">
        <f>round(AVERAGE(J19,'Juri 2'!J19,'Juri 1'!J19),2)</f>
        <v>85</v>
      </c>
      <c r="V19" s="40">
        <f>round(AVERAGE(K19,'Juri 2'!K19,'Juri 1'!K19),2)</f>
        <v>88.67</v>
      </c>
    </row>
    <row r="20">
      <c r="C20" s="19">
        <v>11.0</v>
      </c>
      <c r="D20" s="12" t="s">
        <v>35</v>
      </c>
      <c r="E20" s="4" t="s">
        <v>23</v>
      </c>
      <c r="F20" s="14" t="s">
        <v>26</v>
      </c>
      <c r="G20" s="4">
        <v>2023.0</v>
      </c>
      <c r="H20" s="41">
        <v>90.0</v>
      </c>
      <c r="I20" s="41">
        <v>90.0</v>
      </c>
      <c r="J20" s="41">
        <v>90.0</v>
      </c>
      <c r="K20" s="41">
        <v>90.0</v>
      </c>
      <c r="L20" s="41">
        <v>88.0</v>
      </c>
      <c r="M20" s="41">
        <v>88.0</v>
      </c>
      <c r="N20" s="41">
        <v>88.0</v>
      </c>
      <c r="O20" s="41">
        <v>90.0</v>
      </c>
      <c r="P20" s="35">
        <f t="shared" si="1"/>
        <v>89.25</v>
      </c>
      <c r="Q20" s="11"/>
      <c r="R20" s="40">
        <f>round(AVERAGE(L20,'Juri 2'!L20),2)</f>
        <v>86.5</v>
      </c>
      <c r="S20" s="40">
        <f>round(AVERAGE(H20,'Juri 2'!H20,'Juri 1'!H20),2)</f>
        <v>85</v>
      </c>
      <c r="T20" s="40">
        <f>round(AVERAGE(I20,'Juri 2'!I20,'Juri 1'!I20),2)</f>
        <v>87.67</v>
      </c>
      <c r="U20" s="40">
        <f>round(AVERAGE(J20,'Juri 2'!J20,'Juri 1'!J20),2)</f>
        <v>87.33</v>
      </c>
      <c r="V20" s="40">
        <f>round(AVERAGE(K20,'Juri 2'!K20,'Juri 1'!K20),2)</f>
        <v>87.67</v>
      </c>
    </row>
    <row r="21">
      <c r="C21" s="19">
        <v>12.0</v>
      </c>
      <c r="D21" s="12" t="s">
        <v>36</v>
      </c>
      <c r="E21" s="4" t="s">
        <v>23</v>
      </c>
      <c r="F21" s="14" t="s">
        <v>19</v>
      </c>
      <c r="G21" s="4">
        <v>2024.0</v>
      </c>
      <c r="H21" s="41">
        <v>90.0</v>
      </c>
      <c r="I21" s="41">
        <v>90.0</v>
      </c>
      <c r="J21" s="41">
        <v>90.0</v>
      </c>
      <c r="K21" s="41">
        <v>90.0</v>
      </c>
      <c r="L21" s="41">
        <v>90.0</v>
      </c>
      <c r="M21" s="41">
        <v>88.0</v>
      </c>
      <c r="N21" s="41">
        <v>90.0</v>
      </c>
      <c r="O21" s="41">
        <v>90.0</v>
      </c>
      <c r="P21" s="35">
        <f t="shared" si="1"/>
        <v>89.75</v>
      </c>
      <c r="Q21" s="21"/>
      <c r="R21" s="40">
        <f>round(AVERAGE(L21,'Juri 2'!L21),2)</f>
        <v>87.5</v>
      </c>
      <c r="S21" s="40">
        <f>round(AVERAGE(H21,'Juri 2'!H21,'Juri 1'!H21),2)</f>
        <v>86.67</v>
      </c>
      <c r="T21" s="40">
        <f>round(AVERAGE(I21,'Juri 2'!I21,'Juri 1'!I21),2)</f>
        <v>85.33</v>
      </c>
      <c r="U21" s="40">
        <f>round(AVERAGE(J21,'Juri 2'!J21,'Juri 1'!J21),2)</f>
        <v>86.67</v>
      </c>
      <c r="V21" s="40">
        <f>round(AVERAGE(K21,'Juri 2'!K21,'Juri 1'!K21),2)</f>
        <v>86.67</v>
      </c>
    </row>
    <row r="22">
      <c r="C22" s="19">
        <v>13.0</v>
      </c>
      <c r="D22" s="12" t="s">
        <v>37</v>
      </c>
      <c r="E22" s="13" t="s">
        <v>18</v>
      </c>
      <c r="F22" s="14" t="s">
        <v>38</v>
      </c>
      <c r="G22" s="4">
        <v>2024.0</v>
      </c>
      <c r="H22" s="41">
        <v>80.0</v>
      </c>
      <c r="I22" s="41">
        <v>77.0</v>
      </c>
      <c r="J22" s="41">
        <v>77.0</v>
      </c>
      <c r="K22" s="41">
        <v>70.0</v>
      </c>
      <c r="L22" s="41">
        <v>70.0</v>
      </c>
      <c r="M22" s="41">
        <v>70.0</v>
      </c>
      <c r="N22" s="41">
        <v>79.0</v>
      </c>
      <c r="O22" s="41">
        <v>80.0</v>
      </c>
      <c r="P22" s="35">
        <f t="shared" si="1"/>
        <v>75.375</v>
      </c>
      <c r="Q22" s="17"/>
      <c r="R22" s="40">
        <f>round(AVERAGE(L22,'Juri 2'!L22),2)</f>
        <v>75</v>
      </c>
      <c r="S22" s="40">
        <f>round(AVERAGE(H22,'Juri 2'!H22,'Juri 1'!H22),2)</f>
        <v>75</v>
      </c>
      <c r="T22" s="40">
        <f>round(AVERAGE(I22,'Juri 2'!I22,'Juri 1'!I22),2)</f>
        <v>80.67</v>
      </c>
      <c r="U22" s="40">
        <f>round(AVERAGE(J22,'Juri 2'!J22,'Juri 1'!J22),2)</f>
        <v>85.67</v>
      </c>
      <c r="V22" s="40">
        <f>round(AVERAGE(K22,'Juri 2'!K22,'Juri 1'!K22),2)</f>
        <v>71.67</v>
      </c>
    </row>
    <row r="23">
      <c r="C23" s="19">
        <v>14.0</v>
      </c>
      <c r="D23" s="12" t="s">
        <v>39</v>
      </c>
      <c r="E23" s="4" t="s">
        <v>23</v>
      </c>
      <c r="F23" s="14" t="s">
        <v>21</v>
      </c>
      <c r="G23" s="4">
        <v>2024.0</v>
      </c>
      <c r="H23" s="41">
        <v>84.0</v>
      </c>
      <c r="I23" s="41">
        <v>85.0</v>
      </c>
      <c r="J23" s="41">
        <v>82.0</v>
      </c>
      <c r="K23" s="41">
        <v>83.0</v>
      </c>
      <c r="L23" s="41">
        <v>82.0</v>
      </c>
      <c r="M23" s="41">
        <v>85.0</v>
      </c>
      <c r="N23" s="41">
        <v>83.0</v>
      </c>
      <c r="O23" s="41">
        <v>90.0</v>
      </c>
      <c r="P23" s="35">
        <f t="shared" si="1"/>
        <v>84.25</v>
      </c>
      <c r="Q23" s="16"/>
      <c r="R23" s="40">
        <f>round(AVERAGE(L23,'Juri 2'!L23),2)</f>
        <v>86</v>
      </c>
      <c r="S23" s="40">
        <f>round(AVERAGE(H23,'Juri 2'!H23,'Juri 1'!H23),2)</f>
        <v>86.33</v>
      </c>
      <c r="T23" s="40">
        <f>round(AVERAGE(I23,'Juri 2'!I23,'Juri 1'!I23),2)</f>
        <v>85</v>
      </c>
      <c r="U23" s="40">
        <f>round(AVERAGE(J23,'Juri 2'!J23,'Juri 1'!J23),2)</f>
        <v>84</v>
      </c>
      <c r="V23" s="40">
        <f>round(AVERAGE(K23,'Juri 2'!K23,'Juri 1'!K23),2)</f>
        <v>86</v>
      </c>
    </row>
    <row r="24">
      <c r="C24" s="19">
        <v>15.0</v>
      </c>
      <c r="D24" s="12" t="s">
        <v>40</v>
      </c>
      <c r="E24" s="13" t="s">
        <v>18</v>
      </c>
      <c r="F24" s="14" t="s">
        <v>19</v>
      </c>
      <c r="G24" s="4">
        <v>2024.0</v>
      </c>
      <c r="H24" s="41">
        <v>80.0</v>
      </c>
      <c r="I24" s="41">
        <v>83.0</v>
      </c>
      <c r="J24" s="41">
        <v>85.0</v>
      </c>
      <c r="K24" s="41">
        <v>80.0</v>
      </c>
      <c r="L24" s="41">
        <v>84.0</v>
      </c>
      <c r="M24" s="41">
        <v>90.0</v>
      </c>
      <c r="N24" s="41">
        <v>85.0</v>
      </c>
      <c r="O24" s="41">
        <v>90.0</v>
      </c>
      <c r="P24" s="35">
        <f t="shared" si="1"/>
        <v>84.625</v>
      </c>
      <c r="Q24" s="17"/>
      <c r="R24" s="40">
        <f>round(AVERAGE(L24,'Juri 2'!L24),2)</f>
        <v>87</v>
      </c>
      <c r="S24" s="40">
        <f>round(AVERAGE(H24,'Juri 2'!H24,'Juri 1'!H24),2)</f>
        <v>81.67</v>
      </c>
      <c r="T24" s="40">
        <f>round(AVERAGE(I24,'Juri 2'!I24,'Juri 1'!I24),2)</f>
        <v>81</v>
      </c>
      <c r="U24" s="40">
        <f>round(AVERAGE(J24,'Juri 2'!J24,'Juri 1'!J24),2)</f>
        <v>86.67</v>
      </c>
      <c r="V24" s="40">
        <f>round(AVERAGE(K24,'Juri 2'!K24,'Juri 1'!K24),2)</f>
        <v>83.33</v>
      </c>
    </row>
    <row r="25">
      <c r="C25" s="19">
        <v>16.0</v>
      </c>
      <c r="D25" s="12" t="s">
        <v>41</v>
      </c>
      <c r="E25" s="4" t="s">
        <v>23</v>
      </c>
      <c r="F25" s="14" t="s">
        <v>26</v>
      </c>
      <c r="G25" s="4">
        <v>2023.0</v>
      </c>
      <c r="H25" s="41">
        <v>88.0</v>
      </c>
      <c r="I25" s="41">
        <v>88.0</v>
      </c>
      <c r="J25" s="41">
        <v>85.0</v>
      </c>
      <c r="K25" s="41">
        <v>88.0</v>
      </c>
      <c r="L25" s="41">
        <v>88.0</v>
      </c>
      <c r="M25" s="41">
        <v>90.0</v>
      </c>
      <c r="N25" s="41">
        <v>89.0</v>
      </c>
      <c r="O25" s="41">
        <v>90.0</v>
      </c>
      <c r="P25" s="35">
        <f t="shared" si="1"/>
        <v>88.25</v>
      </c>
      <c r="Q25" s="16"/>
      <c r="R25" s="40">
        <f>round(AVERAGE(L25,'Juri 2'!L25),2)</f>
        <v>88</v>
      </c>
      <c r="S25" s="40">
        <f>round(AVERAGE(H25,'Juri 2'!H25,'Juri 1'!H25),2)</f>
        <v>84.67</v>
      </c>
      <c r="T25" s="40">
        <f>round(AVERAGE(I25,'Juri 2'!I25,'Juri 1'!I25),2)</f>
        <v>84.33</v>
      </c>
      <c r="U25" s="40">
        <f>round(AVERAGE(J25,'Juri 2'!J25,'Juri 1'!J25),2)</f>
        <v>85</v>
      </c>
      <c r="V25" s="40">
        <f>round(AVERAGE(K25,'Juri 2'!K25,'Juri 1'!K25),2)</f>
        <v>83.67</v>
      </c>
    </row>
    <row r="26">
      <c r="C26" s="19">
        <v>17.0</v>
      </c>
      <c r="D26" s="12" t="s">
        <v>42</v>
      </c>
      <c r="E26" s="13" t="s">
        <v>18</v>
      </c>
      <c r="F26" s="14" t="s">
        <v>24</v>
      </c>
      <c r="G26" s="4">
        <v>2024.0</v>
      </c>
      <c r="H26" s="41">
        <v>79.0</v>
      </c>
      <c r="I26" s="41">
        <v>80.0</v>
      </c>
      <c r="J26" s="41">
        <v>80.0</v>
      </c>
      <c r="K26" s="41">
        <v>83.0</v>
      </c>
      <c r="L26" s="41">
        <v>80.0</v>
      </c>
      <c r="M26" s="41">
        <v>78.0</v>
      </c>
      <c r="N26" s="41">
        <v>84.0</v>
      </c>
      <c r="O26" s="41">
        <v>90.0</v>
      </c>
      <c r="P26" s="35">
        <f t="shared" si="1"/>
        <v>81.75</v>
      </c>
      <c r="Q26" s="16"/>
      <c r="R26" s="40">
        <f>round(AVERAGE(L26,'Juri 2'!L26),2)</f>
        <v>82.5</v>
      </c>
      <c r="S26" s="40">
        <f>round(AVERAGE(H26,'Juri 2'!H26,'Juri 1'!H26),2)</f>
        <v>82.33</v>
      </c>
      <c r="T26" s="40">
        <f>round(AVERAGE(I26,'Juri 2'!I26,'Juri 1'!I26),2)</f>
        <v>81.67</v>
      </c>
      <c r="U26" s="40">
        <f>round(AVERAGE(J26,'Juri 2'!J26,'Juri 1'!J26),2)</f>
        <v>85</v>
      </c>
      <c r="V26" s="40">
        <f>round(AVERAGE(K26,'Juri 2'!K26,'Juri 1'!K26),2)</f>
        <v>82.67</v>
      </c>
    </row>
    <row r="27">
      <c r="C27" s="19">
        <v>18.0</v>
      </c>
      <c r="D27" s="12" t="s">
        <v>43</v>
      </c>
      <c r="E27" s="13" t="s">
        <v>23</v>
      </c>
      <c r="F27" s="14" t="s">
        <v>26</v>
      </c>
      <c r="G27" s="4">
        <v>2024.0</v>
      </c>
      <c r="H27" s="41">
        <v>90.0</v>
      </c>
      <c r="I27" s="41">
        <v>80.0</v>
      </c>
      <c r="J27" s="41">
        <v>80.0</v>
      </c>
      <c r="K27" s="41">
        <v>85.0</v>
      </c>
      <c r="L27" s="41">
        <v>85.0</v>
      </c>
      <c r="M27" s="41">
        <v>85.0</v>
      </c>
      <c r="N27" s="41">
        <v>80.0</v>
      </c>
      <c r="O27" s="41">
        <v>90.0</v>
      </c>
      <c r="P27" s="35">
        <f t="shared" si="1"/>
        <v>84.375</v>
      </c>
      <c r="Q27" s="16"/>
      <c r="R27" s="40">
        <f>round(AVERAGE(L27,'Juri 2'!L27),2)</f>
        <v>86.5</v>
      </c>
      <c r="S27" s="40">
        <f>round(AVERAGE(H27,'Juri 2'!H27,'Juri 1'!H27),2)</f>
        <v>86.67</v>
      </c>
      <c r="T27" s="40">
        <f>round(AVERAGE(I27,'Juri 2'!I27,'Juri 1'!I27),2)</f>
        <v>82.33</v>
      </c>
      <c r="U27" s="40">
        <f>round(AVERAGE(J27,'Juri 2'!J27,'Juri 1'!J27),2)</f>
        <v>86.67</v>
      </c>
      <c r="V27" s="40">
        <f>round(AVERAGE(K27,'Juri 2'!K27,'Juri 1'!K27),2)</f>
        <v>82.67</v>
      </c>
    </row>
    <row r="28">
      <c r="C28" s="19">
        <v>19.0</v>
      </c>
      <c r="D28" s="12" t="s">
        <v>44</v>
      </c>
      <c r="E28" s="13" t="s">
        <v>18</v>
      </c>
      <c r="F28" s="14" t="s">
        <v>19</v>
      </c>
      <c r="G28" s="4">
        <v>2024.0</v>
      </c>
      <c r="H28" s="41">
        <v>70.0</v>
      </c>
      <c r="I28" s="41">
        <v>80.0</v>
      </c>
      <c r="J28" s="41">
        <v>70.0</v>
      </c>
      <c r="K28" s="41">
        <v>80.0</v>
      </c>
      <c r="L28" s="41">
        <v>80.0</v>
      </c>
      <c r="M28" s="41">
        <v>83.0</v>
      </c>
      <c r="N28" s="41">
        <v>80.0</v>
      </c>
      <c r="O28" s="41">
        <v>90.0</v>
      </c>
      <c r="P28" s="35">
        <f t="shared" si="1"/>
        <v>79.125</v>
      </c>
      <c r="Q28" s="17"/>
      <c r="R28" s="40">
        <f>round(AVERAGE(L28,'Juri 2'!L28),2)</f>
        <v>81.5</v>
      </c>
      <c r="S28" s="40">
        <f>round(AVERAGE(H28,'Juri 2'!H28,'Juri 1'!H28),2)</f>
        <v>79.33</v>
      </c>
      <c r="T28" s="40">
        <f>round(AVERAGE(I28,'Juri 2'!I28,'Juri 1'!I28),2)</f>
        <v>81</v>
      </c>
      <c r="U28" s="40">
        <f>round(AVERAGE(J28,'Juri 2'!J28,'Juri 1'!J28),2)</f>
        <v>81.67</v>
      </c>
      <c r="V28" s="40">
        <f>round(AVERAGE(K28,'Juri 2'!K28,'Juri 1'!K28),2)</f>
        <v>81.67</v>
      </c>
    </row>
    <row r="29">
      <c r="C29" s="19">
        <v>20.0</v>
      </c>
      <c r="D29" s="12" t="s">
        <v>45</v>
      </c>
      <c r="E29" s="4" t="s">
        <v>23</v>
      </c>
      <c r="F29" s="14" t="s">
        <v>21</v>
      </c>
      <c r="G29" s="4">
        <v>2024.0</v>
      </c>
      <c r="H29" s="41">
        <v>85.0</v>
      </c>
      <c r="I29" s="41">
        <v>85.0</v>
      </c>
      <c r="J29" s="41">
        <v>85.0</v>
      </c>
      <c r="K29" s="41">
        <v>85.0</v>
      </c>
      <c r="L29" s="41">
        <v>85.0</v>
      </c>
      <c r="M29" s="41">
        <v>90.0</v>
      </c>
      <c r="N29" s="41">
        <v>80.0</v>
      </c>
      <c r="O29" s="41">
        <v>90.0</v>
      </c>
      <c r="P29" s="35">
        <f t="shared" si="1"/>
        <v>85.625</v>
      </c>
      <c r="Q29" s="16"/>
      <c r="R29" s="40">
        <f>round(AVERAGE(L29,'Juri 2'!L29),2)</f>
        <v>86.5</v>
      </c>
      <c r="S29" s="40">
        <f>round(AVERAGE(H29,'Juri 2'!H29,'Juri 1'!H29),2)</f>
        <v>84</v>
      </c>
      <c r="T29" s="40">
        <f>round(AVERAGE(I29,'Juri 2'!I29,'Juri 1'!I29),2)</f>
        <v>86</v>
      </c>
      <c r="U29" s="40">
        <f>round(AVERAGE(J29,'Juri 2'!J29,'Juri 1'!J29),2)</f>
        <v>85</v>
      </c>
      <c r="V29" s="40">
        <f>round(AVERAGE(K29,'Juri 2'!K29,'Juri 1'!K29),2)</f>
        <v>85</v>
      </c>
    </row>
    <row r="30">
      <c r="C30" s="19">
        <v>21.0</v>
      </c>
      <c r="D30" s="12" t="s">
        <v>46</v>
      </c>
      <c r="E30" s="13" t="s">
        <v>18</v>
      </c>
      <c r="F30" s="14" t="s">
        <v>19</v>
      </c>
      <c r="G30" s="4">
        <v>2024.0</v>
      </c>
      <c r="H30" s="41">
        <v>88.0</v>
      </c>
      <c r="I30" s="41">
        <v>83.0</v>
      </c>
      <c r="J30" s="41">
        <v>85.0</v>
      </c>
      <c r="K30" s="41">
        <v>81.0</v>
      </c>
      <c r="L30" s="41">
        <v>80.0</v>
      </c>
      <c r="M30" s="41">
        <v>85.0</v>
      </c>
      <c r="N30" s="41">
        <v>83.0</v>
      </c>
      <c r="O30" s="41">
        <v>90.0</v>
      </c>
      <c r="P30" s="35">
        <f t="shared" si="1"/>
        <v>84.375</v>
      </c>
      <c r="Q30" s="16"/>
      <c r="R30" s="40">
        <f>round(AVERAGE(L30,'Juri 2'!L30),2)</f>
        <v>82.5</v>
      </c>
      <c r="S30" s="40">
        <f>round(AVERAGE(H30,'Juri 2'!H30,'Juri 1'!H30),2)</f>
        <v>85</v>
      </c>
      <c r="T30" s="40">
        <f>round(AVERAGE(I30,'Juri 2'!I30,'Juri 1'!I30),2)</f>
        <v>82.67</v>
      </c>
      <c r="U30" s="40">
        <f>round(AVERAGE(J30,'Juri 2'!J30,'Juri 1'!J30),2)</f>
        <v>83.33</v>
      </c>
      <c r="V30" s="40">
        <f>round(AVERAGE(K30,'Juri 2'!K30,'Juri 1'!K30),2)</f>
        <v>82</v>
      </c>
    </row>
    <row r="31">
      <c r="C31" s="19">
        <v>22.0</v>
      </c>
      <c r="D31" s="12" t="s">
        <v>47</v>
      </c>
      <c r="E31" s="4" t="s">
        <v>23</v>
      </c>
      <c r="F31" s="14" t="s">
        <v>19</v>
      </c>
      <c r="G31" s="4">
        <v>2024.0</v>
      </c>
      <c r="H31" s="41">
        <v>70.0</v>
      </c>
      <c r="I31" s="41">
        <v>80.0</v>
      </c>
      <c r="J31" s="41">
        <v>80.0</v>
      </c>
      <c r="K31" s="41">
        <v>80.0</v>
      </c>
      <c r="L31" s="41">
        <v>79.0</v>
      </c>
      <c r="M31" s="41">
        <v>70.0</v>
      </c>
      <c r="N31" s="41">
        <v>80.0</v>
      </c>
      <c r="O31" s="41">
        <v>85.0</v>
      </c>
      <c r="P31" s="35">
        <f t="shared" si="1"/>
        <v>78</v>
      </c>
      <c r="Q31" s="17"/>
      <c r="R31" s="40">
        <f>round(AVERAGE(L31,'Juri 2'!L31),2)</f>
        <v>82</v>
      </c>
      <c r="S31" s="40">
        <f>round(AVERAGE(H31,'Juri 2'!H31,'Juri 1'!H31),2)</f>
        <v>76.67</v>
      </c>
      <c r="T31" s="40">
        <f>round(AVERAGE(I31,'Juri 2'!I31,'Juri 1'!I31),2)</f>
        <v>81.67</v>
      </c>
      <c r="U31" s="40">
        <f>round(AVERAGE(J31,'Juri 2'!J31,'Juri 1'!J31),2)</f>
        <v>85</v>
      </c>
      <c r="V31" s="40">
        <f>round(AVERAGE(K31,'Juri 2'!K31,'Juri 1'!K31),2)</f>
        <v>82.33</v>
      </c>
    </row>
    <row r="32">
      <c r="C32" s="19">
        <v>23.0</v>
      </c>
      <c r="D32" s="12" t="s">
        <v>48</v>
      </c>
      <c r="E32" s="13" t="s">
        <v>18</v>
      </c>
      <c r="F32" s="14" t="s">
        <v>19</v>
      </c>
      <c r="G32" s="4">
        <v>2024.0</v>
      </c>
      <c r="H32" s="41">
        <v>90.0</v>
      </c>
      <c r="I32" s="41">
        <v>95.0</v>
      </c>
      <c r="J32" s="41">
        <v>90.0</v>
      </c>
      <c r="K32" s="41">
        <v>90.0</v>
      </c>
      <c r="L32" s="41">
        <v>90.0</v>
      </c>
      <c r="M32" s="41">
        <v>88.0</v>
      </c>
      <c r="N32" s="41">
        <v>90.0</v>
      </c>
      <c r="O32" s="41">
        <v>90.0</v>
      </c>
      <c r="P32" s="35">
        <f t="shared" si="1"/>
        <v>90.375</v>
      </c>
      <c r="Q32" s="16"/>
      <c r="R32" s="40">
        <f>round(AVERAGE(L32,'Juri 2'!L32),2)</f>
        <v>87.5</v>
      </c>
      <c r="S32" s="40">
        <f>round(AVERAGE(H32,'Juri 2'!H32,'Juri 1'!H32),2)</f>
        <v>90</v>
      </c>
      <c r="T32" s="40">
        <f>round(AVERAGE(I32,'Juri 2'!I32,'Juri 1'!I32),2)</f>
        <v>87.67</v>
      </c>
      <c r="U32" s="40">
        <f>round(AVERAGE(J32,'Juri 2'!J32,'Juri 1'!J32),2)</f>
        <v>85</v>
      </c>
      <c r="V32" s="40">
        <f>round(AVERAGE(K32,'Juri 2'!K32,'Juri 1'!K32),2)</f>
        <v>87.67</v>
      </c>
    </row>
    <row r="33">
      <c r="C33" s="4">
        <v>24.0</v>
      </c>
      <c r="D33" s="12" t="s">
        <v>49</v>
      </c>
      <c r="E33" s="4" t="s">
        <v>23</v>
      </c>
      <c r="F33" s="22" t="s">
        <v>26</v>
      </c>
      <c r="G33" s="20">
        <v>2024.0</v>
      </c>
      <c r="H33" s="41">
        <v>89.0</v>
      </c>
      <c r="I33" s="41">
        <v>88.0</v>
      </c>
      <c r="J33" s="41">
        <v>88.0</v>
      </c>
      <c r="K33" s="41">
        <v>90.0</v>
      </c>
      <c r="L33" s="41">
        <v>89.0</v>
      </c>
      <c r="M33" s="41">
        <v>87.0</v>
      </c>
      <c r="N33" s="41">
        <v>88.0</v>
      </c>
      <c r="O33" s="41">
        <v>90.0</v>
      </c>
      <c r="P33" s="35">
        <f t="shared" si="1"/>
        <v>88.625</v>
      </c>
      <c r="Q33" s="16"/>
      <c r="R33" s="40">
        <f>round(AVERAGE(L33,'Juri 2'!L33),2)</f>
        <v>88</v>
      </c>
      <c r="S33" s="40">
        <f>round(AVERAGE(H33,'Juri 2'!H33,'Juri 1'!H33),2)</f>
        <v>85.33</v>
      </c>
      <c r="T33" s="40">
        <f>round(AVERAGE(I33,'Juri 2'!I33,'Juri 1'!I33),2)</f>
        <v>86.67</v>
      </c>
      <c r="U33" s="40">
        <f>round(AVERAGE(J33,'Juri 2'!J33,'Juri 1'!J33),2)</f>
        <v>86.33</v>
      </c>
      <c r="V33" s="40">
        <f>round(AVERAGE(K33,'Juri 2'!K33,'Juri 1'!K33),2)</f>
        <v>88.67</v>
      </c>
    </row>
    <row r="34">
      <c r="C34" s="19">
        <v>25.0</v>
      </c>
      <c r="D34" s="12" t="s">
        <v>50</v>
      </c>
      <c r="E34" s="4" t="s">
        <v>18</v>
      </c>
      <c r="F34" s="17" t="s">
        <v>31</v>
      </c>
      <c r="G34" s="15">
        <v>2024.0</v>
      </c>
      <c r="H34" s="41">
        <v>86.0</v>
      </c>
      <c r="I34" s="41">
        <v>82.0</v>
      </c>
      <c r="J34" s="41">
        <v>88.0</v>
      </c>
      <c r="K34" s="41">
        <v>87.0</v>
      </c>
      <c r="L34" s="41">
        <v>88.0</v>
      </c>
      <c r="M34" s="41">
        <v>84.0</v>
      </c>
      <c r="N34" s="41">
        <v>86.0</v>
      </c>
      <c r="O34" s="41">
        <v>90.0</v>
      </c>
      <c r="P34" s="35">
        <f t="shared" si="1"/>
        <v>86.375</v>
      </c>
      <c r="Q34" s="17"/>
      <c r="R34" s="40">
        <f>round(AVERAGE(L34,'Juri 2'!L34),2)</f>
        <v>87</v>
      </c>
      <c r="S34" s="40">
        <f>round(AVERAGE(H34,'Juri 2'!H34,'Juri 1'!H34),2)</f>
        <v>85.67</v>
      </c>
      <c r="T34" s="40">
        <f>round(AVERAGE(I34,'Juri 2'!I34,'Juri 1'!I34),2)</f>
        <v>81</v>
      </c>
      <c r="U34" s="40">
        <f>round(AVERAGE(J34,'Juri 2'!J34,'Juri 1'!J34),2)</f>
        <v>88</v>
      </c>
      <c r="V34" s="40">
        <f>round(AVERAGE(K34,'Juri 2'!K34,'Juri 1'!K34),2)</f>
        <v>82.67</v>
      </c>
    </row>
    <row r="35">
      <c r="C35" s="19">
        <v>26.0</v>
      </c>
      <c r="D35" s="12" t="s">
        <v>51</v>
      </c>
      <c r="E35" s="13" t="s">
        <v>23</v>
      </c>
      <c r="F35" s="17" t="s">
        <v>31</v>
      </c>
      <c r="G35" s="15">
        <v>2024.0</v>
      </c>
      <c r="H35" s="41">
        <v>97.0</v>
      </c>
      <c r="I35" s="41">
        <v>90.0</v>
      </c>
      <c r="J35" s="41">
        <v>90.0</v>
      </c>
      <c r="K35" s="41">
        <v>90.0</v>
      </c>
      <c r="L35" s="41">
        <v>90.0</v>
      </c>
      <c r="M35" s="41">
        <v>90.0</v>
      </c>
      <c r="N35" s="41">
        <v>90.0</v>
      </c>
      <c r="O35" s="41">
        <v>90.0</v>
      </c>
      <c r="P35" s="35">
        <f t="shared" si="1"/>
        <v>90.875</v>
      </c>
      <c r="Q35" s="16"/>
      <c r="R35" s="40">
        <f>round(AVERAGE(L35,'Juri 2'!L35),2)</f>
        <v>89</v>
      </c>
      <c r="S35" s="40">
        <f>round(AVERAGE(H35,'Juri 2'!H35,'Juri 1'!H35),2)</f>
        <v>89.67</v>
      </c>
      <c r="T35" s="40">
        <f>round(AVERAGE(I35,'Juri 2'!I35,'Juri 1'!I35),2)</f>
        <v>87</v>
      </c>
      <c r="U35" s="40">
        <f>round(AVERAGE(J35,'Juri 2'!J35,'Juri 1'!J35),2)</f>
        <v>86.67</v>
      </c>
      <c r="V35" s="40">
        <f>round(AVERAGE(K35,'Juri 2'!K35,'Juri 1'!K35),2)</f>
        <v>86</v>
      </c>
    </row>
    <row r="36">
      <c r="C36" s="19">
        <v>27.0</v>
      </c>
      <c r="D36" s="12" t="s">
        <v>52</v>
      </c>
      <c r="E36" s="4" t="s">
        <v>18</v>
      </c>
      <c r="F36" s="17" t="s">
        <v>21</v>
      </c>
      <c r="G36" s="15">
        <v>2024.0</v>
      </c>
      <c r="H36" s="41">
        <v>89.0</v>
      </c>
      <c r="I36" s="41">
        <v>90.0</v>
      </c>
      <c r="J36" s="41">
        <v>90.0</v>
      </c>
      <c r="K36" s="41">
        <v>90.0</v>
      </c>
      <c r="L36" s="41">
        <v>90.0</v>
      </c>
      <c r="M36" s="41">
        <v>90.0</v>
      </c>
      <c r="N36" s="41">
        <v>90.0</v>
      </c>
      <c r="O36" s="41">
        <v>89.0</v>
      </c>
      <c r="P36" s="35">
        <f t="shared" si="1"/>
        <v>89.75</v>
      </c>
      <c r="Q36" s="16"/>
      <c r="R36" s="40">
        <f>round(AVERAGE(L36,'Juri 2'!L36),2)</f>
        <v>90</v>
      </c>
      <c r="S36" s="40">
        <f>round(AVERAGE(H36,'Juri 2'!H36,'Juri 1'!H36),2)</f>
        <v>86.33</v>
      </c>
      <c r="T36" s="40">
        <f>round(AVERAGE(I36,'Juri 2'!I36,'Juri 1'!I36),2)</f>
        <v>88</v>
      </c>
      <c r="U36" s="40">
        <f>round(AVERAGE(J36,'Juri 2'!J36,'Juri 1'!J36),2)</f>
        <v>85</v>
      </c>
      <c r="V36" s="40">
        <f>round(AVERAGE(K36,'Juri 2'!K36,'Juri 1'!K36),2)</f>
        <v>86.67</v>
      </c>
    </row>
    <row r="37">
      <c r="C37" s="19">
        <v>28.0</v>
      </c>
      <c r="D37" s="12" t="s">
        <v>53</v>
      </c>
      <c r="E37" s="4" t="s">
        <v>18</v>
      </c>
      <c r="F37" s="17" t="s">
        <v>31</v>
      </c>
      <c r="G37" s="15">
        <v>2024.0</v>
      </c>
      <c r="H37" s="41">
        <v>83.0</v>
      </c>
      <c r="I37" s="41">
        <v>83.0</v>
      </c>
      <c r="J37" s="41">
        <v>83.0</v>
      </c>
      <c r="K37" s="41">
        <v>82.0</v>
      </c>
      <c r="L37" s="41">
        <v>82.0</v>
      </c>
      <c r="M37" s="41">
        <v>83.0</v>
      </c>
      <c r="N37" s="41">
        <v>81.0</v>
      </c>
      <c r="O37" s="41">
        <v>89.0</v>
      </c>
      <c r="P37" s="35">
        <f t="shared" si="1"/>
        <v>83.25</v>
      </c>
      <c r="Q37" s="16"/>
      <c r="R37" s="40">
        <f>round(AVERAGE(L37,'Juri 2'!L37),2)</f>
        <v>82.5</v>
      </c>
      <c r="S37" s="40">
        <f>round(AVERAGE(H37,'Juri 2'!H37,'Juri 1'!H37),2)</f>
        <v>82</v>
      </c>
      <c r="T37" s="40">
        <f>round(AVERAGE(I37,'Juri 2'!I37,'Juri 1'!I37),2)</f>
        <v>83.67</v>
      </c>
      <c r="U37" s="40">
        <f>round(AVERAGE(J37,'Juri 2'!J37,'Juri 1'!J37),2)</f>
        <v>82</v>
      </c>
      <c r="V37" s="40">
        <f>round(AVERAGE(K37,'Juri 2'!K37,'Juri 1'!K37),2)</f>
        <v>80.67</v>
      </c>
    </row>
    <row r="38">
      <c r="C38" s="19">
        <v>29.0</v>
      </c>
      <c r="D38" s="12" t="s">
        <v>54</v>
      </c>
      <c r="E38" s="4" t="s">
        <v>23</v>
      </c>
      <c r="F38" s="17" t="s">
        <v>21</v>
      </c>
      <c r="G38" s="15">
        <v>2024.0</v>
      </c>
      <c r="H38" s="41">
        <v>87.0</v>
      </c>
      <c r="I38" s="41">
        <v>88.0</v>
      </c>
      <c r="J38" s="41">
        <v>85.0</v>
      </c>
      <c r="K38" s="41">
        <v>83.0</v>
      </c>
      <c r="L38" s="41">
        <v>83.0</v>
      </c>
      <c r="M38" s="41">
        <v>85.0</v>
      </c>
      <c r="N38" s="41">
        <v>85.0</v>
      </c>
      <c r="O38" s="41">
        <v>88.0</v>
      </c>
      <c r="P38" s="35">
        <f t="shared" si="1"/>
        <v>85.5</v>
      </c>
      <c r="Q38" s="16"/>
      <c r="R38" s="40">
        <f>round(AVERAGE(L38,'Juri 2'!L38),2)</f>
        <v>84.5</v>
      </c>
      <c r="S38" s="40">
        <f>round(AVERAGE(H38,'Juri 2'!H38,'Juri 1'!H38),2)</f>
        <v>84.33</v>
      </c>
      <c r="T38" s="40">
        <f>round(AVERAGE(I38,'Juri 2'!I38,'Juri 1'!I38),2)</f>
        <v>83</v>
      </c>
      <c r="U38" s="40">
        <f>round(AVERAGE(J38,'Juri 2'!J38,'Juri 1'!J38),2)</f>
        <v>87</v>
      </c>
      <c r="V38" s="40">
        <f>round(AVERAGE(K38,'Juri 2'!K38,'Juri 1'!K38),2)</f>
        <v>83</v>
      </c>
    </row>
    <row r="39">
      <c r="C39" s="19">
        <v>30.0</v>
      </c>
      <c r="D39" s="12" t="s">
        <v>55</v>
      </c>
      <c r="E39" s="13" t="s">
        <v>18</v>
      </c>
      <c r="F39" s="17" t="s">
        <v>38</v>
      </c>
      <c r="G39" s="15">
        <v>2023.0</v>
      </c>
      <c r="H39" s="41">
        <v>90.0</v>
      </c>
      <c r="I39" s="41">
        <v>88.0</v>
      </c>
      <c r="J39" s="41">
        <v>89.0</v>
      </c>
      <c r="K39" s="41">
        <v>88.0</v>
      </c>
      <c r="L39" s="41">
        <v>89.0</v>
      </c>
      <c r="M39" s="41">
        <v>87.0</v>
      </c>
      <c r="N39" s="41">
        <v>85.0</v>
      </c>
      <c r="O39" s="41">
        <v>90.0</v>
      </c>
      <c r="P39" s="35">
        <f t="shared" si="1"/>
        <v>88.25</v>
      </c>
      <c r="Q39" s="17"/>
      <c r="R39" s="40">
        <f>round(AVERAGE(L39,'Juri 2'!L39),2)</f>
        <v>87.5</v>
      </c>
      <c r="S39" s="40">
        <f>round(AVERAGE(H39,'Juri 2'!H39,'Juri 1'!H39),2)</f>
        <v>86.67</v>
      </c>
      <c r="T39" s="40">
        <f>round(AVERAGE(I39,'Juri 2'!I39,'Juri 1'!I39),2)</f>
        <v>84.67</v>
      </c>
      <c r="U39" s="40">
        <f>round(AVERAGE(J39,'Juri 2'!J39,'Juri 1'!J39),2)</f>
        <v>84.67</v>
      </c>
      <c r="V39" s="40">
        <f>round(AVERAGE(K39,'Juri 2'!K39,'Juri 1'!K39),2)</f>
        <v>86.33</v>
      </c>
    </row>
    <row r="40">
      <c r="C40" s="19">
        <v>31.0</v>
      </c>
      <c r="D40" s="12" t="s">
        <v>56</v>
      </c>
      <c r="E40" s="4" t="s">
        <v>23</v>
      </c>
      <c r="F40" s="14" t="s">
        <v>26</v>
      </c>
      <c r="G40" s="4">
        <v>2024.0</v>
      </c>
      <c r="H40" s="41">
        <v>85.0</v>
      </c>
      <c r="I40" s="41">
        <v>82.0</v>
      </c>
      <c r="J40" s="41">
        <v>82.0</v>
      </c>
      <c r="K40" s="41">
        <v>82.0</v>
      </c>
      <c r="L40" s="41">
        <v>84.0</v>
      </c>
      <c r="M40" s="41">
        <v>84.0</v>
      </c>
      <c r="N40" s="41">
        <v>84.0</v>
      </c>
      <c r="O40" s="41">
        <v>90.0</v>
      </c>
      <c r="P40" s="35">
        <f t="shared" si="1"/>
        <v>84.125</v>
      </c>
      <c r="Q40" s="16"/>
      <c r="R40" s="40">
        <f>round(AVERAGE(L40,'Juri 2'!L40),2)</f>
        <v>83.5</v>
      </c>
      <c r="S40" s="40">
        <f>round(AVERAGE(H40,'Juri 2'!H40,'Juri 1'!H40),2)</f>
        <v>81</v>
      </c>
      <c r="T40" s="40">
        <f>round(AVERAGE(I40,'Juri 2'!I40,'Juri 1'!I40),2)</f>
        <v>81.67</v>
      </c>
      <c r="U40" s="40">
        <f>round(AVERAGE(J40,'Juri 2'!J40,'Juri 1'!J40),2)</f>
        <v>82.33</v>
      </c>
      <c r="V40" s="40">
        <f>round(AVERAGE(K40,'Juri 2'!K40,'Juri 1'!K40),2)</f>
        <v>81.67</v>
      </c>
    </row>
    <row r="41">
      <c r="C41" s="19">
        <v>32.0</v>
      </c>
      <c r="D41" s="12" t="s">
        <v>57</v>
      </c>
      <c r="E41" s="4" t="s">
        <v>23</v>
      </c>
      <c r="F41" s="17" t="s">
        <v>26</v>
      </c>
      <c r="G41" s="15">
        <v>2024.0</v>
      </c>
      <c r="H41" s="41">
        <v>90.0</v>
      </c>
      <c r="I41" s="41">
        <v>89.0</v>
      </c>
      <c r="J41" s="41">
        <v>88.0</v>
      </c>
      <c r="K41" s="41">
        <v>88.0</v>
      </c>
      <c r="L41" s="41">
        <v>90.0</v>
      </c>
      <c r="M41" s="41">
        <v>86.0</v>
      </c>
      <c r="N41" s="41">
        <v>86.0</v>
      </c>
      <c r="O41" s="41">
        <v>90.0</v>
      </c>
      <c r="P41" s="35">
        <f t="shared" si="1"/>
        <v>88.375</v>
      </c>
      <c r="Q41" s="16"/>
      <c r="R41" s="40">
        <f>round(AVERAGE(L41,'Juri 2'!L41),2)</f>
        <v>87.5</v>
      </c>
      <c r="S41" s="40">
        <f>round(AVERAGE(H41,'Juri 2'!H41,'Juri 1'!H41),2)</f>
        <v>85</v>
      </c>
      <c r="T41" s="40">
        <f>round(AVERAGE(I41,'Juri 2'!I41,'Juri 1'!I41),2)</f>
        <v>84.67</v>
      </c>
      <c r="U41" s="40">
        <f>round(AVERAGE(J41,'Juri 2'!J41,'Juri 1'!J41),2)</f>
        <v>85.33</v>
      </c>
      <c r="V41" s="40">
        <f>round(AVERAGE(K41,'Juri 2'!K41,'Juri 1'!K41),2)</f>
        <v>86.67</v>
      </c>
    </row>
    <row r="42">
      <c r="C42" s="19">
        <v>33.0</v>
      </c>
      <c r="D42" s="12" t="s">
        <v>58</v>
      </c>
      <c r="E42" s="4" t="s">
        <v>18</v>
      </c>
      <c r="F42" s="17" t="s">
        <v>38</v>
      </c>
      <c r="G42" s="15">
        <v>2023.0</v>
      </c>
      <c r="H42" s="41">
        <v>83.0</v>
      </c>
      <c r="I42" s="41">
        <v>83.0</v>
      </c>
      <c r="J42" s="41">
        <v>85.0</v>
      </c>
      <c r="K42" s="41">
        <v>85.0</v>
      </c>
      <c r="L42" s="41">
        <v>89.0</v>
      </c>
      <c r="M42" s="41">
        <v>85.0</v>
      </c>
      <c r="N42" s="41">
        <v>85.0</v>
      </c>
      <c r="O42" s="41">
        <v>89.0</v>
      </c>
      <c r="P42" s="35">
        <f t="shared" si="1"/>
        <v>85.5</v>
      </c>
      <c r="Q42" s="16"/>
      <c r="R42" s="40">
        <f>round(AVERAGE(L42,'Juri 2'!L42),2)</f>
        <v>88.5</v>
      </c>
      <c r="S42" s="40">
        <f>round(AVERAGE(H42,'Juri 2'!H42,'Juri 1'!H42),2)</f>
        <v>86</v>
      </c>
      <c r="T42" s="40">
        <f>round(AVERAGE(I42,'Juri 2'!I42,'Juri 1'!I42),2)</f>
        <v>84.33</v>
      </c>
      <c r="U42" s="40">
        <f>round(AVERAGE(J42,'Juri 2'!J42,'Juri 1'!J42),2)</f>
        <v>86</v>
      </c>
      <c r="V42" s="40">
        <f>round(AVERAGE(K42,'Juri 2'!K42,'Juri 1'!K42),2)</f>
        <v>86.67</v>
      </c>
    </row>
    <row r="43">
      <c r="C43" s="19">
        <v>34.0</v>
      </c>
      <c r="D43" s="12" t="s">
        <v>59</v>
      </c>
      <c r="E43" s="4" t="s">
        <v>23</v>
      </c>
      <c r="F43" s="17" t="s">
        <v>29</v>
      </c>
      <c r="G43" s="15">
        <v>2023.0</v>
      </c>
      <c r="H43" s="41">
        <v>85.0</v>
      </c>
      <c r="I43" s="41">
        <v>85.0</v>
      </c>
      <c r="J43" s="41">
        <v>86.0</v>
      </c>
      <c r="K43" s="41">
        <v>85.0</v>
      </c>
      <c r="L43" s="41">
        <v>84.0</v>
      </c>
      <c r="M43" s="41">
        <v>86.0</v>
      </c>
      <c r="N43" s="41">
        <v>84.0</v>
      </c>
      <c r="O43" s="41">
        <v>86.0</v>
      </c>
      <c r="P43" s="35">
        <f t="shared" si="1"/>
        <v>85.125</v>
      </c>
      <c r="Q43" s="17"/>
      <c r="R43" s="40">
        <f>round(AVERAGE(L43,'Juri 2'!L43),2)</f>
        <v>86</v>
      </c>
      <c r="S43" s="40">
        <f>round(AVERAGE(H43,'Juri 2'!H43,'Juri 1'!H43),2)</f>
        <v>84.33</v>
      </c>
      <c r="T43" s="40">
        <f>round(AVERAGE(I43,'Juri 2'!I43,'Juri 1'!I43),2)</f>
        <v>84.33</v>
      </c>
      <c r="U43" s="40">
        <f>round(AVERAGE(J43,'Juri 2'!J43,'Juri 1'!J43),2)</f>
        <v>84.67</v>
      </c>
      <c r="V43" s="40">
        <f>round(AVERAGE(K43,'Juri 2'!K43,'Juri 1'!K43),2)</f>
        <v>84.33</v>
      </c>
    </row>
    <row r="44">
      <c r="C44" s="19">
        <v>35.0</v>
      </c>
      <c r="D44" s="12" t="s">
        <v>60</v>
      </c>
      <c r="E44" s="13" t="s">
        <v>18</v>
      </c>
      <c r="F44" s="17" t="s">
        <v>19</v>
      </c>
      <c r="G44" s="15">
        <v>2024.0</v>
      </c>
      <c r="H44" s="41">
        <v>93.0</v>
      </c>
      <c r="I44" s="41">
        <v>90.0</v>
      </c>
      <c r="J44" s="41">
        <v>90.0</v>
      </c>
      <c r="K44" s="41">
        <v>90.0</v>
      </c>
      <c r="L44" s="41">
        <v>90.0</v>
      </c>
      <c r="M44" s="41">
        <v>93.0</v>
      </c>
      <c r="N44" s="41">
        <v>90.0</v>
      </c>
      <c r="O44" s="41">
        <v>90.0</v>
      </c>
      <c r="P44" s="35">
        <f t="shared" si="1"/>
        <v>90.75</v>
      </c>
      <c r="Q44" s="16"/>
      <c r="R44" s="40">
        <f>round(AVERAGE(L44,'Juri 2'!L44),2)</f>
        <v>89.5</v>
      </c>
      <c r="S44" s="40">
        <f>round(AVERAGE(H44,'Juri 2'!H44,'Juri 1'!H44),2)</f>
        <v>89</v>
      </c>
      <c r="T44" s="40">
        <f>round(AVERAGE(I44,'Juri 2'!I44,'Juri 1'!I44),2)</f>
        <v>88.67</v>
      </c>
      <c r="U44" s="40">
        <f>round(AVERAGE(J44,'Juri 2'!J44,'Juri 1'!J44),2)</f>
        <v>86.33</v>
      </c>
      <c r="V44" s="40">
        <f>round(AVERAGE(K44,'Juri 2'!K44,'Juri 1'!K44),2)</f>
        <v>88.67</v>
      </c>
    </row>
    <row r="45">
      <c r="C45" s="19">
        <v>36.0</v>
      </c>
      <c r="D45" s="12" t="s">
        <v>61</v>
      </c>
      <c r="E45" s="4" t="s">
        <v>23</v>
      </c>
      <c r="F45" s="17" t="s">
        <v>24</v>
      </c>
      <c r="G45" s="15">
        <v>2024.0</v>
      </c>
      <c r="H45" s="41">
        <v>85.0</v>
      </c>
      <c r="I45" s="41">
        <v>80.0</v>
      </c>
      <c r="J45" s="41">
        <v>84.0</v>
      </c>
      <c r="K45" s="41">
        <v>88.0</v>
      </c>
      <c r="L45" s="41">
        <v>86.0</v>
      </c>
      <c r="M45" s="41">
        <v>83.0</v>
      </c>
      <c r="N45" s="41">
        <v>88.0</v>
      </c>
      <c r="O45" s="41">
        <v>89.0</v>
      </c>
      <c r="P45" s="35">
        <f t="shared" si="1"/>
        <v>85.375</v>
      </c>
      <c r="Q45" s="16"/>
      <c r="R45" s="40">
        <f>round(AVERAGE(L45,'Juri 2'!L45),2)</f>
        <v>85.5</v>
      </c>
      <c r="S45" s="40">
        <f>round(AVERAGE(H45,'Juri 2'!H45,'Juri 1'!H45),2)</f>
        <v>81.67</v>
      </c>
      <c r="T45" s="40">
        <f>round(AVERAGE(I45,'Juri 2'!I45,'Juri 1'!I45),2)</f>
        <v>82.33</v>
      </c>
      <c r="U45" s="40">
        <f>round(AVERAGE(J45,'Juri 2'!J45,'Juri 1'!J45),2)</f>
        <v>83</v>
      </c>
      <c r="V45" s="40">
        <f>round(AVERAGE(K45,'Juri 2'!K45,'Juri 1'!K45),2)</f>
        <v>84.33</v>
      </c>
    </row>
    <row r="46">
      <c r="C46" s="19">
        <v>37.0</v>
      </c>
      <c r="D46" s="12" t="s">
        <v>62</v>
      </c>
      <c r="E46" s="4" t="s">
        <v>18</v>
      </c>
      <c r="F46" s="17" t="s">
        <v>38</v>
      </c>
      <c r="G46" s="15">
        <v>2023.0</v>
      </c>
      <c r="H46" s="41">
        <v>88.0</v>
      </c>
      <c r="I46" s="41">
        <v>70.0</v>
      </c>
      <c r="J46" s="41">
        <v>83.0</v>
      </c>
      <c r="K46" s="41">
        <v>79.0</v>
      </c>
      <c r="L46" s="41">
        <v>82.0</v>
      </c>
      <c r="M46" s="41">
        <v>82.0</v>
      </c>
      <c r="N46" s="41">
        <v>70.0</v>
      </c>
      <c r="O46" s="41">
        <v>87.0</v>
      </c>
      <c r="P46" s="35">
        <f t="shared" si="1"/>
        <v>80.125</v>
      </c>
      <c r="Q46" s="17"/>
      <c r="R46" s="40">
        <f>round(AVERAGE(L46,'Juri 2'!L46),2)</f>
        <v>84.5</v>
      </c>
      <c r="S46" s="40">
        <f>round(AVERAGE(H46,'Juri 2'!H46,'Juri 1'!H46),2)</f>
        <v>85</v>
      </c>
      <c r="T46" s="40">
        <f>round(AVERAGE(I46,'Juri 2'!I46,'Juri 1'!I46),2)</f>
        <v>75</v>
      </c>
      <c r="U46" s="40">
        <f>round(AVERAGE(J46,'Juri 2'!J46,'Juri 1'!J46),2)</f>
        <v>82.67</v>
      </c>
      <c r="V46" s="40">
        <f>round(AVERAGE(K46,'Juri 2'!K46,'Juri 1'!K46),2)</f>
        <v>79.67</v>
      </c>
    </row>
    <row r="47">
      <c r="C47" s="19">
        <v>38.0</v>
      </c>
      <c r="D47" s="12" t="s">
        <v>63</v>
      </c>
      <c r="E47" s="4" t="s">
        <v>23</v>
      </c>
      <c r="F47" s="17" t="s">
        <v>19</v>
      </c>
      <c r="G47" s="15">
        <v>2024.0</v>
      </c>
      <c r="H47" s="41">
        <v>88.0</v>
      </c>
      <c r="I47" s="41">
        <v>85.0</v>
      </c>
      <c r="J47" s="41">
        <v>84.0</v>
      </c>
      <c r="K47" s="41">
        <v>85.0</v>
      </c>
      <c r="L47" s="41">
        <v>84.0</v>
      </c>
      <c r="M47" s="41">
        <v>88.0</v>
      </c>
      <c r="N47" s="41">
        <v>85.0</v>
      </c>
      <c r="O47" s="41">
        <v>90.0</v>
      </c>
      <c r="P47" s="35">
        <f t="shared" si="1"/>
        <v>86.125</v>
      </c>
      <c r="Q47" s="16"/>
      <c r="R47" s="40">
        <f>round(AVERAGE(L47,'Juri 2'!L47),2)</f>
        <v>85.5</v>
      </c>
      <c r="S47" s="40">
        <f>round(AVERAGE(H47,'Juri 2'!H47,'Juri 1'!H47),2)</f>
        <v>86.33</v>
      </c>
      <c r="T47" s="40">
        <f>round(AVERAGE(I47,'Juri 2'!I47,'Juri 1'!I47),2)</f>
        <v>84.33</v>
      </c>
      <c r="U47" s="40">
        <f>round(AVERAGE(J47,'Juri 2'!J47,'Juri 1'!J47),2)</f>
        <v>84.33</v>
      </c>
      <c r="V47" s="40">
        <f>round(AVERAGE(K47,'Juri 2'!K47,'Juri 1'!K47),2)</f>
        <v>84.67</v>
      </c>
    </row>
    <row r="48">
      <c r="C48" s="19">
        <v>39.0</v>
      </c>
      <c r="D48" s="12" t="s">
        <v>64</v>
      </c>
      <c r="E48" s="13" t="s">
        <v>18</v>
      </c>
      <c r="F48" s="17" t="s">
        <v>19</v>
      </c>
      <c r="G48" s="15">
        <v>2024.0</v>
      </c>
      <c r="H48" s="41">
        <v>90.0</v>
      </c>
      <c r="I48" s="41">
        <v>85.0</v>
      </c>
      <c r="J48" s="41">
        <v>85.0</v>
      </c>
      <c r="K48" s="41">
        <v>82.0</v>
      </c>
      <c r="L48" s="41">
        <v>90.0</v>
      </c>
      <c r="M48" s="41">
        <v>85.0</v>
      </c>
      <c r="N48" s="41">
        <v>87.0</v>
      </c>
      <c r="O48" s="41">
        <v>90.0</v>
      </c>
      <c r="P48" s="35">
        <f t="shared" si="1"/>
        <v>86.75</v>
      </c>
      <c r="Q48" s="16"/>
      <c r="R48" s="40">
        <f>round(AVERAGE(L48,'Juri 2'!L48),2)</f>
        <v>89</v>
      </c>
      <c r="S48" s="40">
        <f>round(AVERAGE(H48,'Juri 2'!H48,'Juri 1'!H48),2)</f>
        <v>88.33</v>
      </c>
      <c r="T48" s="40">
        <f>round(AVERAGE(I48,'Juri 2'!I48,'Juri 1'!I48),2)</f>
        <v>87.33</v>
      </c>
      <c r="U48" s="40">
        <f>round(AVERAGE(J48,'Juri 2'!J48,'Juri 1'!J48),2)</f>
        <v>83.33</v>
      </c>
      <c r="V48" s="40">
        <f>round(AVERAGE(K48,'Juri 2'!K48,'Juri 1'!K48),2)</f>
        <v>86.33</v>
      </c>
    </row>
    <row r="49">
      <c r="C49" s="19">
        <v>40.0</v>
      </c>
      <c r="D49" s="12" t="s">
        <v>65</v>
      </c>
      <c r="E49" s="4" t="s">
        <v>23</v>
      </c>
      <c r="F49" s="17" t="s">
        <v>19</v>
      </c>
      <c r="G49" s="15">
        <v>2024.0</v>
      </c>
      <c r="H49" s="41">
        <v>90.0</v>
      </c>
      <c r="I49" s="41">
        <v>89.0</v>
      </c>
      <c r="J49" s="41">
        <v>88.0</v>
      </c>
      <c r="K49" s="41">
        <v>87.0</v>
      </c>
      <c r="L49" s="41">
        <v>85.0</v>
      </c>
      <c r="M49" s="41">
        <v>86.0</v>
      </c>
      <c r="N49" s="41">
        <v>88.0</v>
      </c>
      <c r="O49" s="41">
        <v>90.0</v>
      </c>
      <c r="P49" s="35">
        <f t="shared" si="1"/>
        <v>87.875</v>
      </c>
      <c r="Q49" s="16"/>
      <c r="R49" s="40">
        <f>round(AVERAGE(L49,'Juri 2'!L49),2)</f>
        <v>86</v>
      </c>
      <c r="S49" s="40">
        <f>round(AVERAGE(H49,'Juri 2'!H49,'Juri 1'!H49),2)</f>
        <v>85.67</v>
      </c>
      <c r="T49" s="40">
        <f>round(AVERAGE(I49,'Juri 2'!I49,'Juri 1'!I49),2)</f>
        <v>87</v>
      </c>
      <c r="U49" s="40">
        <f>round(AVERAGE(J49,'Juri 2'!J49,'Juri 1'!J49),2)</f>
        <v>86</v>
      </c>
      <c r="V49" s="40">
        <f>round(AVERAGE(K49,'Juri 2'!K49,'Juri 1'!K49),2)</f>
        <v>84.67</v>
      </c>
    </row>
    <row r="50">
      <c r="C50" s="19">
        <v>41.0</v>
      </c>
      <c r="D50" s="12" t="s">
        <v>66</v>
      </c>
      <c r="E50" s="13" t="s">
        <v>18</v>
      </c>
      <c r="F50" s="17" t="s">
        <v>19</v>
      </c>
      <c r="G50" s="15">
        <v>2024.0</v>
      </c>
      <c r="H50" s="41">
        <v>89.0</v>
      </c>
      <c r="I50" s="41">
        <v>86.0</v>
      </c>
      <c r="J50" s="41">
        <v>85.0</v>
      </c>
      <c r="K50" s="41">
        <v>86.0</v>
      </c>
      <c r="L50" s="41">
        <v>86.0</v>
      </c>
      <c r="M50" s="41">
        <v>88.0</v>
      </c>
      <c r="N50" s="41">
        <v>84.0</v>
      </c>
      <c r="O50" s="41">
        <v>90.0</v>
      </c>
      <c r="P50" s="35">
        <f t="shared" si="1"/>
        <v>86.75</v>
      </c>
      <c r="Q50" s="16"/>
      <c r="R50" s="40">
        <f>round(AVERAGE(L50,'Juri 2'!L50),2)</f>
        <v>88</v>
      </c>
      <c r="S50" s="40">
        <f>round(AVERAGE(H50,'Juri 2'!H50,'Juri 1'!H50),2)</f>
        <v>86.67</v>
      </c>
      <c r="T50" s="40">
        <f>round(AVERAGE(I50,'Juri 2'!I50,'Juri 1'!I50),2)</f>
        <v>84.33</v>
      </c>
      <c r="U50" s="40">
        <f>round(AVERAGE(J50,'Juri 2'!J50,'Juri 1'!J50),2)</f>
        <v>85.33</v>
      </c>
      <c r="V50" s="40">
        <f>round(AVERAGE(K50,'Juri 2'!K50,'Juri 1'!K50),2)</f>
        <v>84.67</v>
      </c>
    </row>
    <row r="51">
      <c r="C51" s="19">
        <v>42.0</v>
      </c>
      <c r="D51" s="12" t="s">
        <v>67</v>
      </c>
      <c r="E51" s="4" t="s">
        <v>23</v>
      </c>
      <c r="F51" s="17" t="s">
        <v>19</v>
      </c>
      <c r="G51" s="15">
        <v>2024.0</v>
      </c>
      <c r="H51" s="41">
        <v>89.0</v>
      </c>
      <c r="I51" s="41">
        <v>86.0</v>
      </c>
      <c r="J51" s="41">
        <v>85.0</v>
      </c>
      <c r="K51" s="41">
        <v>85.0</v>
      </c>
      <c r="L51" s="41">
        <v>89.0</v>
      </c>
      <c r="M51" s="41">
        <v>85.0</v>
      </c>
      <c r="N51" s="41">
        <v>84.0</v>
      </c>
      <c r="O51" s="41">
        <v>90.0</v>
      </c>
      <c r="P51" s="35">
        <f t="shared" si="1"/>
        <v>86.625</v>
      </c>
      <c r="Q51" s="17"/>
      <c r="R51" s="40">
        <f>round(AVERAGE(L51,'Juri 2'!L51),2)</f>
        <v>87</v>
      </c>
      <c r="S51" s="40">
        <f>round(AVERAGE(H51,'Juri 2'!H51,'Juri 1'!H51),2)</f>
        <v>86</v>
      </c>
      <c r="T51" s="40">
        <f>round(AVERAGE(I51,'Juri 2'!I51,'Juri 1'!I51),2)</f>
        <v>83.67</v>
      </c>
      <c r="U51" s="40">
        <f>round(AVERAGE(J51,'Juri 2'!J51,'Juri 1'!J51),2)</f>
        <v>84.67</v>
      </c>
      <c r="V51" s="40">
        <f>round(AVERAGE(K51,'Juri 2'!K51,'Juri 1'!K51),2)</f>
        <v>85.33</v>
      </c>
    </row>
    <row r="52">
      <c r="C52" s="19">
        <v>43.0</v>
      </c>
      <c r="D52" s="12" t="s">
        <v>68</v>
      </c>
      <c r="E52" s="13" t="s">
        <v>18</v>
      </c>
      <c r="F52" s="17" t="s">
        <v>19</v>
      </c>
      <c r="G52" s="15">
        <v>2024.0</v>
      </c>
      <c r="H52" s="41">
        <v>90.0</v>
      </c>
      <c r="I52" s="41">
        <v>87.0</v>
      </c>
      <c r="J52" s="41">
        <v>88.0</v>
      </c>
      <c r="K52" s="41">
        <v>89.0</v>
      </c>
      <c r="L52" s="41">
        <v>89.0</v>
      </c>
      <c r="M52" s="41">
        <v>88.0</v>
      </c>
      <c r="N52" s="41">
        <v>89.0</v>
      </c>
      <c r="O52" s="41">
        <v>90.0</v>
      </c>
      <c r="P52" s="35">
        <f t="shared" si="1"/>
        <v>88.75</v>
      </c>
      <c r="Q52" s="16"/>
      <c r="R52" s="40">
        <f>round(AVERAGE(L52,'Juri 2'!L52),2)</f>
        <v>88.5</v>
      </c>
      <c r="S52" s="40">
        <f>round(AVERAGE(H52,'Juri 2'!H52,'Juri 1'!H52),2)</f>
        <v>87.33</v>
      </c>
      <c r="T52" s="40">
        <f>round(AVERAGE(I52,'Juri 2'!I52,'Juri 1'!I52),2)</f>
        <v>86</v>
      </c>
      <c r="U52" s="40">
        <f>round(AVERAGE(J52,'Juri 2'!J52,'Juri 1'!J52),2)</f>
        <v>88.33</v>
      </c>
      <c r="V52" s="40">
        <f>round(AVERAGE(K52,'Juri 2'!K52,'Juri 1'!K52),2)</f>
        <v>87.33</v>
      </c>
    </row>
    <row r="53">
      <c r="C53" s="19">
        <v>44.0</v>
      </c>
      <c r="D53" s="12" t="s">
        <v>69</v>
      </c>
      <c r="E53" s="4" t="s">
        <v>23</v>
      </c>
      <c r="F53" s="17" t="s">
        <v>19</v>
      </c>
      <c r="G53" s="15">
        <v>2024.0</v>
      </c>
      <c r="H53" s="41">
        <v>85.0</v>
      </c>
      <c r="I53" s="41">
        <v>83.0</v>
      </c>
      <c r="J53" s="41">
        <v>84.0</v>
      </c>
      <c r="K53" s="41">
        <v>83.0</v>
      </c>
      <c r="L53" s="41">
        <v>85.0</v>
      </c>
      <c r="M53" s="41">
        <v>84.0</v>
      </c>
      <c r="N53" s="41">
        <v>84.0</v>
      </c>
      <c r="O53" s="41">
        <v>89.0</v>
      </c>
      <c r="P53" s="35">
        <f t="shared" si="1"/>
        <v>84.625</v>
      </c>
      <c r="Q53" s="16"/>
      <c r="R53" s="40">
        <f>round(AVERAGE(L53,'Juri 2'!L53),2)</f>
        <v>86</v>
      </c>
      <c r="S53" s="40">
        <f>round(AVERAGE(H53,'Juri 2'!H53,'Juri 1'!H53),2)</f>
        <v>84</v>
      </c>
      <c r="T53" s="40">
        <f>round(AVERAGE(I53,'Juri 2'!I53,'Juri 1'!I53),2)</f>
        <v>83.33</v>
      </c>
      <c r="U53" s="40">
        <f>round(AVERAGE(J53,'Juri 2'!J53,'Juri 1'!J53),2)</f>
        <v>84.67</v>
      </c>
      <c r="V53" s="40">
        <f>round(AVERAGE(K53,'Juri 2'!K53,'Juri 1'!K53),2)</f>
        <v>85.67</v>
      </c>
    </row>
    <row r="54">
      <c r="C54" s="19">
        <v>45.0</v>
      </c>
      <c r="D54" s="12" t="s">
        <v>70</v>
      </c>
      <c r="E54" s="13" t="s">
        <v>18</v>
      </c>
      <c r="F54" s="14" t="s">
        <v>19</v>
      </c>
      <c r="G54" s="4">
        <v>2023.0</v>
      </c>
      <c r="H54" s="41">
        <v>90.0</v>
      </c>
      <c r="I54" s="41">
        <v>85.0</v>
      </c>
      <c r="J54" s="41">
        <v>87.0</v>
      </c>
      <c r="K54" s="41">
        <v>90.0</v>
      </c>
      <c r="L54" s="41">
        <v>90.0</v>
      </c>
      <c r="M54" s="41">
        <v>90.0</v>
      </c>
      <c r="N54" s="41">
        <v>88.0</v>
      </c>
      <c r="O54" s="41">
        <v>90.0</v>
      </c>
      <c r="P54" s="35">
        <f t="shared" si="1"/>
        <v>88.75</v>
      </c>
      <c r="Q54" s="16"/>
      <c r="R54" s="40">
        <f>round(AVERAGE(L54,'Juri 2'!L54),2)</f>
        <v>90</v>
      </c>
      <c r="S54" s="40">
        <f>round(AVERAGE(H54,'Juri 2'!H54,'Juri 1'!H54),2)</f>
        <v>87.67</v>
      </c>
      <c r="T54" s="40">
        <f>round(AVERAGE(I54,'Juri 2'!I54,'Juri 1'!I54),2)</f>
        <v>85.67</v>
      </c>
      <c r="U54" s="40">
        <f>round(AVERAGE(J54,'Juri 2'!J54,'Juri 1'!J54),2)</f>
        <v>85.67</v>
      </c>
      <c r="V54" s="40">
        <f>round(AVERAGE(K54,'Juri 2'!K54,'Juri 1'!K54),2)</f>
        <v>86.33</v>
      </c>
    </row>
    <row r="55">
      <c r="C55" s="19">
        <v>46.0</v>
      </c>
      <c r="D55" s="12" t="s">
        <v>71</v>
      </c>
      <c r="E55" s="13" t="s">
        <v>23</v>
      </c>
      <c r="F55" s="17" t="s">
        <v>19</v>
      </c>
      <c r="G55" s="15">
        <v>2024.0</v>
      </c>
      <c r="H55" s="41">
        <v>90.0</v>
      </c>
      <c r="I55" s="41">
        <v>87.0</v>
      </c>
      <c r="J55" s="41">
        <v>86.0</v>
      </c>
      <c r="K55" s="41">
        <v>85.0</v>
      </c>
      <c r="L55" s="41">
        <v>87.0</v>
      </c>
      <c r="M55" s="41">
        <v>83.0</v>
      </c>
      <c r="N55" s="41">
        <v>87.0</v>
      </c>
      <c r="O55" s="41">
        <v>90.0</v>
      </c>
      <c r="P55" s="35">
        <f t="shared" si="1"/>
        <v>86.875</v>
      </c>
      <c r="Q55" s="16"/>
      <c r="R55" s="40">
        <f>round(AVERAGE(L55,'Juri 2'!L55),2)</f>
        <v>87.5</v>
      </c>
      <c r="S55" s="40">
        <f>round(AVERAGE(H55,'Juri 2'!H55,'Juri 1'!H55),2)</f>
        <v>88.33</v>
      </c>
      <c r="T55" s="40">
        <f>round(AVERAGE(I55,'Juri 2'!I55,'Juri 1'!I55),2)</f>
        <v>87.67</v>
      </c>
      <c r="U55" s="40">
        <f>round(AVERAGE(J55,'Juri 2'!J55,'Juri 1'!J55),2)</f>
        <v>87</v>
      </c>
      <c r="V55" s="40">
        <f>round(AVERAGE(K55,'Juri 2'!K55,'Juri 1'!K55),2)</f>
        <v>85.33</v>
      </c>
    </row>
    <row r="56">
      <c r="C56" s="19">
        <v>47.0</v>
      </c>
      <c r="D56" s="12" t="s">
        <v>72</v>
      </c>
      <c r="E56" s="13" t="s">
        <v>18</v>
      </c>
      <c r="F56" s="17" t="s">
        <v>19</v>
      </c>
      <c r="G56" s="15">
        <v>2024.0</v>
      </c>
      <c r="H56" s="41">
        <v>85.0</v>
      </c>
      <c r="I56" s="41">
        <v>85.0</v>
      </c>
      <c r="J56" s="41">
        <v>86.0</v>
      </c>
      <c r="K56" s="41">
        <v>84.0</v>
      </c>
      <c r="L56" s="41">
        <v>84.0</v>
      </c>
      <c r="M56" s="41">
        <v>88.0</v>
      </c>
      <c r="N56" s="41">
        <v>87.0</v>
      </c>
      <c r="O56" s="41">
        <v>90.0</v>
      </c>
      <c r="P56" s="35">
        <f t="shared" si="1"/>
        <v>86.125</v>
      </c>
      <c r="Q56" s="16"/>
      <c r="R56" s="40">
        <f>round(AVERAGE(L56,'Juri 2'!L56),2)</f>
        <v>86</v>
      </c>
      <c r="S56" s="40">
        <f>round(AVERAGE(H56,'Juri 2'!H56,'Juri 1'!H56),2)</f>
        <v>84.33</v>
      </c>
      <c r="T56" s="40">
        <f>round(AVERAGE(I56,'Juri 2'!I56,'Juri 1'!I56),2)</f>
        <v>86</v>
      </c>
      <c r="U56" s="40">
        <f>round(AVERAGE(J56,'Juri 2'!J56,'Juri 1'!J56),2)</f>
        <v>85.67</v>
      </c>
      <c r="V56" s="40">
        <f>round(AVERAGE(K56,'Juri 2'!K56,'Juri 1'!K56),2)</f>
        <v>86.33</v>
      </c>
    </row>
    <row r="57">
      <c r="C57" s="19">
        <v>48.0</v>
      </c>
      <c r="D57" s="12" t="s">
        <v>73</v>
      </c>
      <c r="E57" s="4" t="s">
        <v>23</v>
      </c>
      <c r="F57" s="17" t="s">
        <v>19</v>
      </c>
      <c r="G57" s="15">
        <v>2023.0</v>
      </c>
      <c r="H57" s="41">
        <v>90.0</v>
      </c>
      <c r="I57" s="41">
        <v>90.0</v>
      </c>
      <c r="J57" s="41">
        <v>90.0</v>
      </c>
      <c r="K57" s="41">
        <v>90.0</v>
      </c>
      <c r="L57" s="41">
        <v>95.0</v>
      </c>
      <c r="M57" s="41">
        <v>90.0</v>
      </c>
      <c r="N57" s="41">
        <v>89.0</v>
      </c>
      <c r="O57" s="41">
        <v>90.0</v>
      </c>
      <c r="P57" s="35">
        <f t="shared" si="1"/>
        <v>90.5</v>
      </c>
      <c r="Q57" s="16"/>
      <c r="R57" s="40">
        <f>round(AVERAGE(L57,'Juri 2'!L57),2)</f>
        <v>91.5</v>
      </c>
      <c r="S57" s="40">
        <f>round(AVERAGE(H57,'Juri 2'!H57,'Juri 1'!H57),2)</f>
        <v>86.67</v>
      </c>
      <c r="T57" s="40">
        <f>round(AVERAGE(I57,'Juri 2'!I57,'Juri 1'!I57),2)</f>
        <v>87.33</v>
      </c>
      <c r="U57" s="40">
        <f>round(AVERAGE(J57,'Juri 2'!J57,'Juri 1'!J57),2)</f>
        <v>87</v>
      </c>
      <c r="V57" s="40">
        <f>round(AVERAGE(K57,'Juri 2'!K57,'Juri 1'!K57),2)</f>
        <v>87.67</v>
      </c>
    </row>
    <row r="58">
      <c r="C58" s="19">
        <v>49.0</v>
      </c>
      <c r="D58" s="12" t="s">
        <v>74</v>
      </c>
      <c r="E58" s="13" t="s">
        <v>18</v>
      </c>
      <c r="F58" s="14" t="s">
        <v>19</v>
      </c>
      <c r="G58" s="4">
        <v>2023.0</v>
      </c>
      <c r="H58" s="41">
        <v>90.0</v>
      </c>
      <c r="I58" s="41">
        <v>83.0</v>
      </c>
      <c r="J58" s="41">
        <v>84.0</v>
      </c>
      <c r="K58" s="41">
        <v>83.0</v>
      </c>
      <c r="L58" s="41">
        <v>82.0</v>
      </c>
      <c r="M58" s="41">
        <v>85.0</v>
      </c>
      <c r="N58" s="41">
        <v>89.0</v>
      </c>
      <c r="O58" s="41">
        <v>90.0</v>
      </c>
      <c r="P58" s="35">
        <f t="shared" si="1"/>
        <v>85.75</v>
      </c>
      <c r="Q58" s="16"/>
      <c r="R58" s="40">
        <f>round(AVERAGE(L58,'Juri 2'!L58),2)</f>
        <v>81</v>
      </c>
      <c r="S58" s="40">
        <f>round(AVERAGE(H58,'Juri 2'!H58,'Juri 1'!H58),2)</f>
        <v>86.67</v>
      </c>
      <c r="T58" s="40">
        <f>round(AVERAGE(I58,'Juri 2'!I58,'Juri 1'!I58),2)</f>
        <v>84</v>
      </c>
      <c r="U58" s="40">
        <f>round(AVERAGE(J58,'Juri 2'!J58,'Juri 1'!J58),2)</f>
        <v>84</v>
      </c>
      <c r="V58" s="40">
        <f>round(AVERAGE(K58,'Juri 2'!K58,'Juri 1'!K58),2)</f>
        <v>83</v>
      </c>
    </row>
    <row r="59">
      <c r="C59" s="38">
        <v>50.0</v>
      </c>
      <c r="D59" s="12" t="s">
        <v>75</v>
      </c>
      <c r="E59" s="23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42" t="e">
        <v>#DIV/0!</v>
      </c>
      <c r="Q59" s="25"/>
      <c r="R59" s="1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C63" s="28" t="s">
        <v>76</v>
      </c>
      <c r="D63" s="29"/>
      <c r="E63" s="29"/>
      <c r="F63" s="29"/>
      <c r="G63" s="30"/>
      <c r="H63" s="31">
        <v>0.25</v>
      </c>
      <c r="I63" s="31">
        <v>0.2</v>
      </c>
      <c r="J63" s="31">
        <v>0.3</v>
      </c>
      <c r="K63" s="31">
        <v>0.25</v>
      </c>
      <c r="L63" s="32"/>
      <c r="M63" s="32"/>
      <c r="N63" s="32"/>
      <c r="O63" s="32"/>
      <c r="P63" s="32"/>
      <c r="Q63" s="32"/>
      <c r="R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</sheetData>
  <mergeCells count="3">
    <mergeCell ref="J7:L7"/>
    <mergeCell ref="D8:H8"/>
    <mergeCell ref="C63:G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>
      <c r="A2" s="43"/>
      <c r="B2" s="44" t="s">
        <v>2</v>
      </c>
      <c r="C2" s="45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7" t="s">
        <v>11</v>
      </c>
      <c r="L2" s="47" t="s">
        <v>12</v>
      </c>
      <c r="M2" s="47" t="s">
        <v>13</v>
      </c>
      <c r="N2" s="47" t="s">
        <v>14</v>
      </c>
      <c r="O2" s="47" t="s">
        <v>78</v>
      </c>
      <c r="P2" s="47" t="s">
        <v>79</v>
      </c>
      <c r="Q2" s="47" t="s">
        <v>80</v>
      </c>
      <c r="R2" s="47" t="s">
        <v>81</v>
      </c>
      <c r="S2" s="47" t="s">
        <v>83</v>
      </c>
      <c r="T2" s="47" t="s">
        <v>84</v>
      </c>
      <c r="U2" s="47" t="s">
        <v>85</v>
      </c>
      <c r="V2" s="43"/>
      <c r="W2" s="43"/>
      <c r="X2" s="43"/>
      <c r="Y2" s="43"/>
      <c r="Z2" s="43"/>
      <c r="AA2" s="43"/>
      <c r="AB2" s="43"/>
    </row>
    <row r="3">
      <c r="A3" s="43"/>
      <c r="B3" s="48">
        <v>0.0</v>
      </c>
      <c r="C3" s="48" t="s">
        <v>86</v>
      </c>
      <c r="D3" s="48" t="s">
        <v>87</v>
      </c>
      <c r="E3" s="48" t="s">
        <v>87</v>
      </c>
      <c r="F3" s="48">
        <v>2024.0</v>
      </c>
      <c r="G3" s="49">
        <f t="shared" ref="G3:U3" si="1">MAX(G4:G52)</f>
        <v>92.667</v>
      </c>
      <c r="H3" s="49">
        <f t="shared" si="1"/>
        <v>88.667</v>
      </c>
      <c r="I3" s="49">
        <f t="shared" si="1"/>
        <v>89</v>
      </c>
      <c r="J3" s="49">
        <f t="shared" si="1"/>
        <v>88.667</v>
      </c>
      <c r="K3" s="49">
        <f t="shared" si="1"/>
        <v>90</v>
      </c>
      <c r="L3" s="49">
        <f t="shared" si="1"/>
        <v>82</v>
      </c>
      <c r="M3" s="49">
        <f t="shared" si="1"/>
        <v>90</v>
      </c>
      <c r="N3" s="49">
        <f t="shared" si="1"/>
        <v>90</v>
      </c>
      <c r="O3" s="49">
        <f t="shared" si="1"/>
        <v>89</v>
      </c>
      <c r="P3" s="49">
        <f t="shared" si="1"/>
        <v>90</v>
      </c>
      <c r="Q3" s="49">
        <f t="shared" si="1"/>
        <v>90</v>
      </c>
      <c r="R3" s="49">
        <f t="shared" si="1"/>
        <v>90</v>
      </c>
      <c r="S3" s="49">
        <f t="shared" si="1"/>
        <v>93</v>
      </c>
      <c r="T3" s="49">
        <f t="shared" si="1"/>
        <v>90</v>
      </c>
      <c r="U3" s="49">
        <f t="shared" si="1"/>
        <v>90</v>
      </c>
      <c r="V3" s="43"/>
      <c r="W3" s="43"/>
      <c r="X3" s="43"/>
      <c r="Y3" s="43"/>
      <c r="Z3" s="43"/>
      <c r="AA3" s="43"/>
      <c r="AB3" s="43"/>
    </row>
    <row r="4">
      <c r="A4" s="43"/>
      <c r="B4" s="44">
        <v>1.0</v>
      </c>
      <c r="C4" s="12" t="s">
        <v>17</v>
      </c>
      <c r="D4" s="13" t="s">
        <v>18</v>
      </c>
      <c r="E4" s="44" t="s">
        <v>19</v>
      </c>
      <c r="F4" s="44">
        <v>2024.0</v>
      </c>
      <c r="G4" s="49">
        <f>round(AVERAGE('Juri 3'!H10,'Juri 2'!H10,'Juri 1'!H10),3)</f>
        <v>85</v>
      </c>
      <c r="H4" s="49">
        <f>round(AVERAGE('Juri 3'!I10,'Juri 2'!I10,'Juri 1'!I10),3)</f>
        <v>88.333</v>
      </c>
      <c r="I4" s="49">
        <f>round(AVERAGE('Juri 3'!J10,'Juri 2'!J10,'Juri 1'!J10),3)</f>
        <v>85</v>
      </c>
      <c r="J4" s="49">
        <f>round(AVERAGE('Juri 3'!K10,'Juri 2'!K10,'Juri 1'!K10),3)</f>
        <v>84.333</v>
      </c>
      <c r="K4" s="44">
        <v>80.0</v>
      </c>
      <c r="L4" s="44">
        <v>74.0</v>
      </c>
      <c r="M4" s="44">
        <v>80.0</v>
      </c>
      <c r="N4" s="44">
        <v>90.0</v>
      </c>
      <c r="O4" s="49">
        <f>round(AVERAGE(I4,'Juri 2'!I3),3)</f>
        <v>85</v>
      </c>
      <c r="P4" s="50">
        <v>85.0</v>
      </c>
      <c r="Q4" s="50">
        <v>70.0</v>
      </c>
      <c r="R4" s="50">
        <v>85.0</v>
      </c>
      <c r="S4" s="50">
        <v>88.0</v>
      </c>
      <c r="T4" s="50">
        <v>88.0</v>
      </c>
      <c r="U4" s="50">
        <v>90.0</v>
      </c>
      <c r="V4" s="43"/>
      <c r="W4" s="43"/>
      <c r="X4" s="43"/>
      <c r="Y4" s="43"/>
      <c r="Z4" s="43"/>
      <c r="AA4" s="43"/>
      <c r="AB4" s="43"/>
    </row>
    <row r="5">
      <c r="A5" s="43"/>
      <c r="B5" s="44">
        <v>2.0</v>
      </c>
      <c r="C5" s="12" t="s">
        <v>20</v>
      </c>
      <c r="D5" s="4" t="s">
        <v>18</v>
      </c>
      <c r="E5" s="44" t="s">
        <v>21</v>
      </c>
      <c r="F5" s="44">
        <v>2024.0</v>
      </c>
      <c r="G5" s="49">
        <f>round(AVERAGE('Juri 3'!H11,'Juri 2'!H11,'Juri 1'!H11),3)</f>
        <v>77.667</v>
      </c>
      <c r="H5" s="49">
        <f>round(AVERAGE('Juri 3'!I11,'Juri 2'!I11,'Juri 1'!I11),3)</f>
        <v>80</v>
      </c>
      <c r="I5" s="49">
        <f>round(AVERAGE('Juri 3'!J11,'Juri 2'!J11,'Juri 1'!J11),3)</f>
        <v>79</v>
      </c>
      <c r="J5" s="49">
        <f>round(AVERAGE('Juri 3'!K11,'Juri 2'!K11,'Juri 1'!K11),3)</f>
        <v>82.333</v>
      </c>
      <c r="K5" s="44">
        <v>80.0</v>
      </c>
      <c r="L5" s="44">
        <v>82.0</v>
      </c>
      <c r="M5" s="44">
        <v>80.0</v>
      </c>
      <c r="N5" s="44">
        <v>80.0</v>
      </c>
      <c r="O5" s="49">
        <f>round(AVERAGE(I5,'Juri 2'!I4),3)</f>
        <v>79</v>
      </c>
      <c r="P5" s="50">
        <v>85.0</v>
      </c>
      <c r="Q5" s="50">
        <v>70.0</v>
      </c>
      <c r="R5" s="50">
        <v>85.0</v>
      </c>
      <c r="S5" s="50">
        <v>80.0</v>
      </c>
      <c r="T5" s="50">
        <v>80.0</v>
      </c>
      <c r="U5" s="50">
        <v>80.0</v>
      </c>
      <c r="V5" s="43"/>
      <c r="W5" s="43"/>
      <c r="X5" s="43"/>
      <c r="Y5" s="43"/>
      <c r="Z5" s="43"/>
      <c r="AA5" s="43"/>
      <c r="AB5" s="43"/>
    </row>
    <row r="6">
      <c r="A6" s="43"/>
      <c r="B6" s="44">
        <v>3.0</v>
      </c>
      <c r="C6" s="12" t="s">
        <v>22</v>
      </c>
      <c r="D6" s="4" t="s">
        <v>23</v>
      </c>
      <c r="E6" s="44" t="s">
        <v>24</v>
      </c>
      <c r="F6" s="44">
        <v>2023.0</v>
      </c>
      <c r="G6" s="49">
        <f>round(AVERAGE('Juri 3'!H12,'Juri 2'!H12,'Juri 1'!H12),3)</f>
        <v>88.333</v>
      </c>
      <c r="H6" s="49">
        <f>round(AVERAGE('Juri 3'!I12,'Juri 2'!I12,'Juri 1'!I12),3)</f>
        <v>86</v>
      </c>
      <c r="I6" s="49">
        <f>round(AVERAGE('Juri 3'!J12,'Juri 2'!J12,'Juri 1'!J12),3)</f>
        <v>87.667</v>
      </c>
      <c r="J6" s="49">
        <f>round(AVERAGE('Juri 3'!K12,'Juri 2'!K12,'Juri 1'!K12),3)</f>
        <v>87.667</v>
      </c>
      <c r="K6" s="44">
        <v>85.0</v>
      </c>
      <c r="L6" s="44">
        <v>80.0</v>
      </c>
      <c r="M6" s="44">
        <v>85.0</v>
      </c>
      <c r="N6" s="44">
        <v>80.0</v>
      </c>
      <c r="O6" s="49">
        <f>round(AVERAGE(I6,'Juri 2'!I5),3)</f>
        <v>87.667</v>
      </c>
      <c r="P6" s="50">
        <v>90.0</v>
      </c>
      <c r="Q6" s="50">
        <v>90.0</v>
      </c>
      <c r="R6" s="50">
        <v>90.0</v>
      </c>
      <c r="S6" s="50">
        <v>90.0</v>
      </c>
      <c r="T6" s="50">
        <v>85.0</v>
      </c>
      <c r="U6" s="50">
        <v>89.0</v>
      </c>
      <c r="V6" s="43"/>
      <c r="W6" s="43"/>
      <c r="X6" s="43"/>
      <c r="Y6" s="43"/>
      <c r="Z6" s="43"/>
      <c r="AA6" s="43"/>
      <c r="AB6" s="43"/>
    </row>
    <row r="7">
      <c r="A7" s="43"/>
      <c r="B7" s="44">
        <v>4.0</v>
      </c>
      <c r="C7" s="12" t="s">
        <v>25</v>
      </c>
      <c r="D7" s="4" t="s">
        <v>23</v>
      </c>
      <c r="E7" s="44" t="s">
        <v>26</v>
      </c>
      <c r="F7" s="44">
        <v>2024.0</v>
      </c>
      <c r="G7" s="49">
        <f>round(AVERAGE('Juri 3'!H13,'Juri 2'!H13,'Juri 1'!H13),3)</f>
        <v>86</v>
      </c>
      <c r="H7" s="49">
        <f>round(AVERAGE('Juri 3'!I13,'Juri 2'!I13,'Juri 1'!I13),3)</f>
        <v>87</v>
      </c>
      <c r="I7" s="49">
        <f>round(AVERAGE('Juri 3'!J13,'Juri 2'!J13,'Juri 1'!J13),3)</f>
        <v>85</v>
      </c>
      <c r="J7" s="49">
        <f>round(AVERAGE('Juri 3'!K13,'Juri 2'!K13,'Juri 1'!K13),3)</f>
        <v>88</v>
      </c>
      <c r="K7" s="44">
        <v>75.0</v>
      </c>
      <c r="L7" s="44">
        <v>77.0</v>
      </c>
      <c r="M7" s="44">
        <v>86.0</v>
      </c>
      <c r="N7" s="44">
        <v>80.0</v>
      </c>
      <c r="O7" s="49">
        <f>round(AVERAGE(I7,'Juri 2'!I6),3)</f>
        <v>85</v>
      </c>
      <c r="P7" s="50">
        <v>88.0</v>
      </c>
      <c r="Q7" s="50">
        <v>70.0</v>
      </c>
      <c r="R7" s="50">
        <v>85.0</v>
      </c>
      <c r="S7" s="50">
        <v>88.0</v>
      </c>
      <c r="T7" s="50">
        <v>85.0</v>
      </c>
      <c r="U7" s="50">
        <v>85.0</v>
      </c>
      <c r="V7" s="43"/>
      <c r="W7" s="43"/>
      <c r="X7" s="43"/>
      <c r="Y7" s="43"/>
      <c r="Z7" s="43"/>
      <c r="AA7" s="43"/>
      <c r="AB7" s="43"/>
    </row>
    <row r="8">
      <c r="A8" s="43"/>
      <c r="B8" s="44">
        <v>5.0</v>
      </c>
      <c r="C8" s="12" t="s">
        <v>27</v>
      </c>
      <c r="D8" s="13" t="s">
        <v>18</v>
      </c>
      <c r="E8" s="44" t="s">
        <v>24</v>
      </c>
      <c r="F8" s="44">
        <v>2024.0</v>
      </c>
      <c r="G8" s="49">
        <f>round(AVERAGE('Juri 3'!H14,'Juri 2'!H14,'Juri 1'!H14),3)</f>
        <v>83.667</v>
      </c>
      <c r="H8" s="49">
        <f>round(AVERAGE('Juri 3'!I14,'Juri 2'!I14,'Juri 1'!I14),3)</f>
        <v>86</v>
      </c>
      <c r="I8" s="49">
        <f>round(AVERAGE('Juri 3'!J14,'Juri 2'!J14,'Juri 1'!J14),3)</f>
        <v>86</v>
      </c>
      <c r="J8" s="49">
        <f>round(AVERAGE('Juri 3'!K14,'Juri 2'!K14,'Juri 1'!K14),3)</f>
        <v>83</v>
      </c>
      <c r="K8" s="44">
        <v>78.0</v>
      </c>
      <c r="L8" s="44">
        <v>70.0</v>
      </c>
      <c r="M8" s="44">
        <v>80.0</v>
      </c>
      <c r="N8" s="44">
        <v>80.0</v>
      </c>
      <c r="O8" s="49">
        <f>round(AVERAGE(I8,'Juri 2'!I7),3)</f>
        <v>86</v>
      </c>
      <c r="P8" s="50">
        <v>88.0</v>
      </c>
      <c r="Q8" s="50">
        <v>70.0</v>
      </c>
      <c r="R8" s="50">
        <v>88.0</v>
      </c>
      <c r="S8" s="50">
        <v>82.0</v>
      </c>
      <c r="T8" s="50">
        <v>83.0</v>
      </c>
      <c r="U8" s="50">
        <v>89.0</v>
      </c>
      <c r="V8" s="43"/>
      <c r="W8" s="43"/>
      <c r="X8" s="43"/>
      <c r="Y8" s="43"/>
      <c r="Z8" s="43"/>
      <c r="AA8" s="43"/>
      <c r="AB8" s="43"/>
    </row>
    <row r="9">
      <c r="A9" s="43"/>
      <c r="B9" s="44">
        <v>6.0</v>
      </c>
      <c r="C9" s="12" t="s">
        <v>28</v>
      </c>
      <c r="D9" s="4" t="s">
        <v>18</v>
      </c>
      <c r="E9" s="44" t="s">
        <v>29</v>
      </c>
      <c r="F9" s="44">
        <v>2023.0</v>
      </c>
      <c r="G9" s="49">
        <f>round(AVERAGE('Juri 3'!H15,'Juri 2'!H15,'Juri 1'!H15),3)</f>
        <v>88.333</v>
      </c>
      <c r="H9" s="49">
        <f>round(AVERAGE('Juri 3'!I15,'Juri 2'!I15,'Juri 1'!I15),3)</f>
        <v>88.667</v>
      </c>
      <c r="I9" s="49">
        <f>round(AVERAGE('Juri 3'!J15,'Juri 2'!J15,'Juri 1'!J15),3)</f>
        <v>89</v>
      </c>
      <c r="J9" s="49">
        <f>round(AVERAGE('Juri 3'!K15,'Juri 2'!K15,'Juri 1'!K15),3)</f>
        <v>87.333</v>
      </c>
      <c r="K9" s="44">
        <v>85.0</v>
      </c>
      <c r="L9" s="44">
        <v>80.0</v>
      </c>
      <c r="M9" s="44">
        <v>85.0</v>
      </c>
      <c r="N9" s="44">
        <v>80.0</v>
      </c>
      <c r="O9" s="49">
        <f>round(AVERAGE(I9,'Juri 2'!I8),3)</f>
        <v>89</v>
      </c>
      <c r="P9" s="50">
        <v>87.0</v>
      </c>
      <c r="Q9" s="50">
        <v>70.0</v>
      </c>
      <c r="R9" s="50">
        <v>87.0</v>
      </c>
      <c r="S9" s="50">
        <v>89.0</v>
      </c>
      <c r="T9" s="50">
        <v>89.0</v>
      </c>
      <c r="U9" s="50">
        <v>90.0</v>
      </c>
      <c r="V9" s="43"/>
      <c r="W9" s="43"/>
      <c r="X9" s="43"/>
      <c r="Y9" s="43"/>
      <c r="Z9" s="43"/>
      <c r="AA9" s="43"/>
      <c r="AB9" s="43"/>
    </row>
    <row r="10">
      <c r="A10" s="43"/>
      <c r="B10" s="44">
        <v>7.0</v>
      </c>
      <c r="C10" s="12" t="s">
        <v>30</v>
      </c>
      <c r="D10" s="4" t="s">
        <v>23</v>
      </c>
      <c r="E10" s="44" t="s">
        <v>31</v>
      </c>
      <c r="F10" s="44">
        <v>2024.0</v>
      </c>
      <c r="G10" s="49">
        <f>round(AVERAGE('Juri 3'!H16,'Juri 2'!H16,'Juri 1'!H16),3)</f>
        <v>87.667</v>
      </c>
      <c r="H10" s="49">
        <f>round(AVERAGE('Juri 3'!I16,'Juri 2'!I16,'Juri 1'!I16),3)</f>
        <v>86.667</v>
      </c>
      <c r="I10" s="49">
        <f>round(AVERAGE('Juri 3'!J16,'Juri 2'!J16,'Juri 1'!J16),3)</f>
        <v>86.667</v>
      </c>
      <c r="J10" s="49">
        <f>round(AVERAGE('Juri 3'!K16,'Juri 2'!K16,'Juri 1'!K16),3)</f>
        <v>88.333</v>
      </c>
      <c r="K10" s="44">
        <v>75.0</v>
      </c>
      <c r="L10" s="44">
        <v>77.0</v>
      </c>
      <c r="M10" s="44">
        <v>80.0</v>
      </c>
      <c r="N10" s="44">
        <v>80.0</v>
      </c>
      <c r="O10" s="49">
        <f>round(AVERAGE(I10,'Juri 2'!I9),3)</f>
        <v>86.667</v>
      </c>
      <c r="P10" s="50">
        <v>88.0</v>
      </c>
      <c r="Q10" s="50">
        <v>80.0</v>
      </c>
      <c r="R10" s="50">
        <v>88.0</v>
      </c>
      <c r="S10" s="50">
        <v>90.0</v>
      </c>
      <c r="T10" s="50">
        <v>88.0</v>
      </c>
      <c r="U10" s="50">
        <v>90.0</v>
      </c>
      <c r="V10" s="43"/>
      <c r="W10" s="43"/>
      <c r="X10" s="43"/>
      <c r="Y10" s="43"/>
      <c r="Z10" s="43"/>
      <c r="AA10" s="43"/>
      <c r="AB10" s="43"/>
    </row>
    <row r="11">
      <c r="A11" s="43"/>
      <c r="B11" s="44">
        <v>8.0</v>
      </c>
      <c r="C11" s="12" t="s">
        <v>32</v>
      </c>
      <c r="D11" s="13" t="s">
        <v>18</v>
      </c>
      <c r="E11" s="44" t="s">
        <v>24</v>
      </c>
      <c r="F11" s="44">
        <v>2024.0</v>
      </c>
      <c r="G11" s="49">
        <f>round(AVERAGE('Juri 3'!H17,'Juri 2'!H17,'Juri 1'!H17),3)</f>
        <v>80.667</v>
      </c>
      <c r="H11" s="49">
        <f>round(AVERAGE('Juri 3'!I17,'Juri 2'!I17,'Juri 1'!I17),3)</f>
        <v>83.333</v>
      </c>
      <c r="I11" s="49">
        <f>round(AVERAGE('Juri 3'!J17,'Juri 2'!J17,'Juri 1'!J17),3)</f>
        <v>83.333</v>
      </c>
      <c r="J11" s="49">
        <f>round(AVERAGE('Juri 3'!K17,'Juri 2'!K17,'Juri 1'!K17),3)</f>
        <v>81.667</v>
      </c>
      <c r="K11" s="44">
        <v>80.0</v>
      </c>
      <c r="L11" s="44">
        <v>70.0</v>
      </c>
      <c r="M11" s="44">
        <v>87.0</v>
      </c>
      <c r="N11" s="44">
        <v>85.0</v>
      </c>
      <c r="O11" s="49">
        <f>round(AVERAGE(I11,'Juri 2'!I10),3)</f>
        <v>84.167</v>
      </c>
      <c r="P11" s="50">
        <v>85.0</v>
      </c>
      <c r="Q11" s="50">
        <v>70.0</v>
      </c>
      <c r="R11" s="50">
        <v>85.0</v>
      </c>
      <c r="S11" s="50">
        <v>70.0</v>
      </c>
      <c r="T11" s="50">
        <v>77.0</v>
      </c>
      <c r="U11" s="50">
        <v>90.0</v>
      </c>
      <c r="V11" s="43"/>
      <c r="W11" s="43"/>
      <c r="X11" s="43"/>
      <c r="Y11" s="43"/>
      <c r="Z11" s="43"/>
      <c r="AA11" s="43"/>
      <c r="AB11" s="43"/>
    </row>
    <row r="12">
      <c r="A12" s="43"/>
      <c r="B12" s="44">
        <v>9.0</v>
      </c>
      <c r="C12" s="12" t="s">
        <v>33</v>
      </c>
      <c r="D12" s="13" t="s">
        <v>23</v>
      </c>
      <c r="E12" s="44" t="s">
        <v>29</v>
      </c>
      <c r="F12" s="44">
        <v>2024.0</v>
      </c>
      <c r="G12" s="49">
        <f>round(AVERAGE('Juri 3'!H18,'Juri 2'!H18,'Juri 1'!H18),3)</f>
        <v>92.667</v>
      </c>
      <c r="H12" s="49">
        <f>round(AVERAGE('Juri 3'!I18,'Juri 2'!I18,'Juri 1'!I18),3)</f>
        <v>85.667</v>
      </c>
      <c r="I12" s="49">
        <f>round(AVERAGE('Juri 3'!J18,'Juri 2'!J18,'Juri 1'!J18),3)</f>
        <v>87.333</v>
      </c>
      <c r="J12" s="49">
        <f>round(AVERAGE('Juri 3'!K18,'Juri 2'!K18,'Juri 1'!K18),3)</f>
        <v>84.333</v>
      </c>
      <c r="K12" s="44">
        <v>70.0</v>
      </c>
      <c r="L12" s="44">
        <v>75.0</v>
      </c>
      <c r="M12" s="44">
        <v>87.0</v>
      </c>
      <c r="N12" s="44">
        <v>85.0</v>
      </c>
      <c r="O12" s="49">
        <f>round(AVERAGE(I12,'Juri 2'!I11),3)</f>
        <v>85.167</v>
      </c>
      <c r="P12" s="50">
        <v>88.0</v>
      </c>
      <c r="Q12" s="50">
        <v>70.0</v>
      </c>
      <c r="R12" s="50">
        <v>85.0</v>
      </c>
      <c r="S12" s="50">
        <v>90.0</v>
      </c>
      <c r="T12" s="50">
        <v>90.0</v>
      </c>
      <c r="U12" s="50">
        <v>90.0</v>
      </c>
      <c r="V12" s="43"/>
      <c r="W12" s="43"/>
      <c r="X12" s="43"/>
      <c r="Y12" s="43"/>
      <c r="Z12" s="43"/>
      <c r="AA12" s="43"/>
      <c r="AB12" s="43"/>
    </row>
    <row r="13">
      <c r="A13" s="43"/>
      <c r="B13" s="44">
        <v>10.0</v>
      </c>
      <c r="C13" s="12" t="s">
        <v>34</v>
      </c>
      <c r="D13" s="13" t="s">
        <v>18</v>
      </c>
      <c r="E13" s="44" t="s">
        <v>19</v>
      </c>
      <c r="F13" s="44">
        <v>2024.0</v>
      </c>
      <c r="G13" s="49">
        <f>round(AVERAGE('Juri 3'!H19,'Juri 2'!H19,'Juri 1'!H19),3)</f>
        <v>85</v>
      </c>
      <c r="H13" s="49">
        <f>round(AVERAGE('Juri 3'!I19,'Juri 2'!I19,'Juri 1'!I19),3)</f>
        <v>84</v>
      </c>
      <c r="I13" s="49">
        <f>round(AVERAGE('Juri 3'!J19,'Juri 2'!J19,'Juri 1'!J19),3)</f>
        <v>85</v>
      </c>
      <c r="J13" s="49">
        <f>round(AVERAGE('Juri 3'!K19,'Juri 2'!K19,'Juri 1'!K19),3)</f>
        <v>88.667</v>
      </c>
      <c r="K13" s="44">
        <v>80.0</v>
      </c>
      <c r="L13" s="44">
        <v>76.0</v>
      </c>
      <c r="M13" s="44">
        <v>80.0</v>
      </c>
      <c r="N13" s="44">
        <v>80.0</v>
      </c>
      <c r="O13" s="49">
        <f>round(AVERAGE(I13,'Juri 2'!I12),3)</f>
        <v>86.5</v>
      </c>
      <c r="P13" s="50">
        <v>85.0</v>
      </c>
      <c r="Q13" s="50">
        <v>70.0</v>
      </c>
      <c r="R13" s="50">
        <v>85.0</v>
      </c>
      <c r="S13" s="50">
        <v>80.0</v>
      </c>
      <c r="T13" s="50">
        <v>85.0</v>
      </c>
      <c r="U13" s="50">
        <v>90.0</v>
      </c>
      <c r="V13" s="43"/>
      <c r="W13" s="43"/>
      <c r="X13" s="43"/>
      <c r="Y13" s="43"/>
      <c r="Z13" s="43"/>
      <c r="AA13" s="43"/>
      <c r="AB13" s="43"/>
    </row>
    <row r="14">
      <c r="A14" s="43"/>
      <c r="B14" s="44">
        <v>11.0</v>
      </c>
      <c r="C14" s="12" t="s">
        <v>35</v>
      </c>
      <c r="D14" s="4" t="s">
        <v>23</v>
      </c>
      <c r="E14" s="44" t="s">
        <v>26</v>
      </c>
      <c r="F14" s="44">
        <v>2023.0</v>
      </c>
      <c r="G14" s="49">
        <f>round(AVERAGE('Juri 3'!H20,'Juri 2'!H20,'Juri 1'!H20),3)</f>
        <v>85</v>
      </c>
      <c r="H14" s="49">
        <f>round(AVERAGE('Juri 3'!I20,'Juri 2'!I20,'Juri 1'!I20),3)</f>
        <v>87.667</v>
      </c>
      <c r="I14" s="49">
        <f>round(AVERAGE('Juri 3'!J20,'Juri 2'!J20,'Juri 1'!J20),3)</f>
        <v>87.333</v>
      </c>
      <c r="J14" s="49">
        <f>round(AVERAGE('Juri 3'!K20,'Juri 2'!K20,'Juri 1'!K20),3)</f>
        <v>87.667</v>
      </c>
      <c r="K14" s="44">
        <v>85.0</v>
      </c>
      <c r="L14" s="44">
        <v>70.0</v>
      </c>
      <c r="M14" s="44">
        <v>85.0</v>
      </c>
      <c r="N14" s="44">
        <v>80.0</v>
      </c>
      <c r="O14" s="49">
        <f>round(AVERAGE(I14,'Juri 2'!I13),3)</f>
        <v>87.667</v>
      </c>
      <c r="P14" s="50">
        <v>85.0</v>
      </c>
      <c r="Q14" s="50">
        <v>70.0</v>
      </c>
      <c r="R14" s="50">
        <v>88.0</v>
      </c>
      <c r="S14" s="50">
        <v>88.0</v>
      </c>
      <c r="T14" s="50">
        <v>88.0</v>
      </c>
      <c r="U14" s="50">
        <v>90.0</v>
      </c>
      <c r="V14" s="43"/>
      <c r="W14" s="43"/>
      <c r="X14" s="43"/>
      <c r="Y14" s="43"/>
      <c r="Z14" s="43"/>
      <c r="AA14" s="43"/>
      <c r="AB14" s="43"/>
    </row>
    <row r="15">
      <c r="A15" s="43"/>
      <c r="B15" s="44">
        <v>12.0</v>
      </c>
      <c r="C15" s="12" t="s">
        <v>36</v>
      </c>
      <c r="D15" s="4" t="s">
        <v>23</v>
      </c>
      <c r="E15" s="44" t="s">
        <v>19</v>
      </c>
      <c r="F15" s="44">
        <v>2024.0</v>
      </c>
      <c r="G15" s="49">
        <f>round(AVERAGE('Juri 3'!H21,'Juri 2'!H21,'Juri 1'!H21),3)</f>
        <v>86.667</v>
      </c>
      <c r="H15" s="49">
        <f>round(AVERAGE('Juri 3'!I21,'Juri 2'!I21,'Juri 1'!I21),3)</f>
        <v>85.333</v>
      </c>
      <c r="I15" s="49">
        <f>round(AVERAGE('Juri 3'!J21,'Juri 2'!J21,'Juri 1'!J21),3)</f>
        <v>86.667</v>
      </c>
      <c r="J15" s="49">
        <f>round(AVERAGE('Juri 3'!K21,'Juri 2'!K21,'Juri 1'!K21),3)</f>
        <v>86.667</v>
      </c>
      <c r="K15" s="44">
        <v>80.0</v>
      </c>
      <c r="L15" s="44">
        <v>76.0</v>
      </c>
      <c r="M15" s="44">
        <v>90.0</v>
      </c>
      <c r="N15" s="44">
        <v>83.0</v>
      </c>
      <c r="O15" s="49">
        <f>round(AVERAGE(I15,'Juri 2'!I14),3)</f>
        <v>87.334</v>
      </c>
      <c r="P15" s="50">
        <v>85.0</v>
      </c>
      <c r="Q15" s="50">
        <v>90.0</v>
      </c>
      <c r="R15" s="50">
        <v>88.0</v>
      </c>
      <c r="S15" s="50">
        <v>88.0</v>
      </c>
      <c r="T15" s="50">
        <v>90.0</v>
      </c>
      <c r="U15" s="50">
        <v>90.0</v>
      </c>
      <c r="V15" s="43"/>
      <c r="W15" s="43"/>
      <c r="X15" s="43"/>
      <c r="Y15" s="43"/>
      <c r="Z15" s="43"/>
      <c r="AA15" s="43"/>
      <c r="AB15" s="43"/>
    </row>
    <row r="16">
      <c r="A16" s="43"/>
      <c r="B16" s="44">
        <v>13.0</v>
      </c>
      <c r="C16" s="12" t="s">
        <v>37</v>
      </c>
      <c r="D16" s="13" t="s">
        <v>18</v>
      </c>
      <c r="E16" s="44" t="s">
        <v>38</v>
      </c>
      <c r="F16" s="44">
        <v>2024.0</v>
      </c>
      <c r="G16" s="49">
        <f>round(AVERAGE('Juri 3'!H22,'Juri 2'!H22,'Juri 1'!H22),3)</f>
        <v>75</v>
      </c>
      <c r="H16" s="49">
        <f>round(AVERAGE('Juri 3'!I22,'Juri 2'!I22,'Juri 1'!I22),3)</f>
        <v>80.667</v>
      </c>
      <c r="I16" s="49">
        <f>round(AVERAGE('Juri 3'!J22,'Juri 2'!J22,'Juri 1'!J22),3)</f>
        <v>85.667</v>
      </c>
      <c r="J16" s="49">
        <f>round(AVERAGE('Juri 3'!K22,'Juri 2'!K22,'Juri 1'!K22),3)</f>
        <v>71.667</v>
      </c>
      <c r="K16" s="44">
        <v>85.0</v>
      </c>
      <c r="L16" s="44">
        <v>74.0</v>
      </c>
      <c r="M16" s="44">
        <v>86.0</v>
      </c>
      <c r="N16" s="44">
        <v>80.0</v>
      </c>
      <c r="O16" s="49">
        <f>round(AVERAGE(I16,'Juri 2'!I15),3)</f>
        <v>86.334</v>
      </c>
      <c r="P16" s="50">
        <v>80.0</v>
      </c>
      <c r="Q16" s="50">
        <v>70.0</v>
      </c>
      <c r="R16" s="50">
        <v>80.0</v>
      </c>
      <c r="S16" s="50">
        <v>70.0</v>
      </c>
      <c r="T16" s="50">
        <v>79.0</v>
      </c>
      <c r="U16" s="50">
        <v>80.0</v>
      </c>
      <c r="V16" s="43"/>
      <c r="W16" s="43"/>
      <c r="X16" s="43"/>
      <c r="Y16" s="43"/>
      <c r="Z16" s="43"/>
      <c r="AA16" s="43"/>
      <c r="AB16" s="43"/>
    </row>
    <row r="17">
      <c r="A17" s="43"/>
      <c r="B17" s="44">
        <v>14.0</v>
      </c>
      <c r="C17" s="12" t="s">
        <v>39</v>
      </c>
      <c r="D17" s="4" t="s">
        <v>23</v>
      </c>
      <c r="E17" s="44" t="s">
        <v>21</v>
      </c>
      <c r="F17" s="44">
        <v>2024.0</v>
      </c>
      <c r="G17" s="49">
        <f>round(AVERAGE('Juri 3'!H23,'Juri 2'!H23,'Juri 1'!H23),3)</f>
        <v>86.333</v>
      </c>
      <c r="H17" s="49">
        <f>round(AVERAGE('Juri 3'!I23,'Juri 2'!I23,'Juri 1'!I23),3)</f>
        <v>85</v>
      </c>
      <c r="I17" s="49">
        <f>round(AVERAGE('Juri 3'!J23,'Juri 2'!J23,'Juri 1'!J23),3)</f>
        <v>84</v>
      </c>
      <c r="J17" s="49">
        <f>round(AVERAGE('Juri 3'!K23,'Juri 2'!K23,'Juri 1'!K23),3)</f>
        <v>86</v>
      </c>
      <c r="K17" s="44">
        <v>80.0</v>
      </c>
      <c r="L17" s="44">
        <v>73.0</v>
      </c>
      <c r="M17" s="44">
        <v>80.0</v>
      </c>
      <c r="N17" s="44">
        <v>80.0</v>
      </c>
      <c r="O17" s="49">
        <f>round(AVERAGE(I17,'Juri 2'!I16),3)</f>
        <v>84.5</v>
      </c>
      <c r="P17" s="50">
        <v>90.0</v>
      </c>
      <c r="Q17" s="50">
        <v>70.0</v>
      </c>
      <c r="R17" s="50">
        <v>90.0</v>
      </c>
      <c r="S17" s="50">
        <v>85.0</v>
      </c>
      <c r="T17" s="50">
        <v>83.0</v>
      </c>
      <c r="U17" s="50">
        <v>90.0</v>
      </c>
      <c r="V17" s="43"/>
      <c r="W17" s="43"/>
      <c r="X17" s="43"/>
      <c r="Y17" s="43"/>
      <c r="Z17" s="43"/>
      <c r="AA17" s="43"/>
      <c r="AB17" s="43"/>
    </row>
    <row r="18">
      <c r="A18" s="43"/>
      <c r="B18" s="44">
        <v>15.0</v>
      </c>
      <c r="C18" s="12" t="s">
        <v>40</v>
      </c>
      <c r="D18" s="13" t="s">
        <v>18</v>
      </c>
      <c r="E18" s="44" t="s">
        <v>19</v>
      </c>
      <c r="F18" s="44">
        <v>2024.0</v>
      </c>
      <c r="G18" s="49">
        <f>round(AVERAGE('Juri 3'!H24,'Juri 2'!H24,'Juri 1'!H24),3)</f>
        <v>81.667</v>
      </c>
      <c r="H18" s="49">
        <f>round(AVERAGE('Juri 3'!I24,'Juri 2'!I24,'Juri 1'!I24),3)</f>
        <v>81</v>
      </c>
      <c r="I18" s="49">
        <f>round(AVERAGE('Juri 3'!J24,'Juri 2'!J24,'Juri 1'!J24),3)</f>
        <v>86.667</v>
      </c>
      <c r="J18" s="49">
        <f>round(AVERAGE('Juri 3'!K24,'Juri 2'!K24,'Juri 1'!K24),3)</f>
        <v>83.333</v>
      </c>
      <c r="K18" s="44">
        <v>75.0</v>
      </c>
      <c r="L18" s="44">
        <v>75.0</v>
      </c>
      <c r="M18" s="44">
        <v>86.0</v>
      </c>
      <c r="N18" s="44">
        <v>80.0</v>
      </c>
      <c r="O18" s="49">
        <f>round(AVERAGE(I18,'Juri 2'!I17),3)</f>
        <v>85.834</v>
      </c>
      <c r="P18" s="50">
        <v>88.0</v>
      </c>
      <c r="Q18" s="50">
        <v>90.0</v>
      </c>
      <c r="R18" s="50">
        <v>85.0</v>
      </c>
      <c r="S18" s="50">
        <v>90.0</v>
      </c>
      <c r="T18" s="50">
        <v>85.0</v>
      </c>
      <c r="U18" s="50">
        <v>90.0</v>
      </c>
      <c r="V18" s="43"/>
      <c r="W18" s="43"/>
      <c r="X18" s="43"/>
      <c r="Y18" s="43"/>
      <c r="Z18" s="43"/>
      <c r="AA18" s="43"/>
      <c r="AB18" s="43"/>
    </row>
    <row r="19">
      <c r="A19" s="43"/>
      <c r="B19" s="44">
        <v>16.0</v>
      </c>
      <c r="C19" s="12" t="s">
        <v>41</v>
      </c>
      <c r="D19" s="4" t="s">
        <v>23</v>
      </c>
      <c r="E19" s="44" t="s">
        <v>26</v>
      </c>
      <c r="F19" s="44">
        <v>2023.0</v>
      </c>
      <c r="G19" s="49">
        <f>round(AVERAGE('Juri 3'!H25,'Juri 2'!H25,'Juri 1'!H25),3)</f>
        <v>84.667</v>
      </c>
      <c r="H19" s="49">
        <f>round(AVERAGE('Juri 3'!I25,'Juri 2'!I25,'Juri 1'!I25),3)</f>
        <v>84.333</v>
      </c>
      <c r="I19" s="49">
        <f>round(AVERAGE('Juri 3'!J25,'Juri 2'!J25,'Juri 1'!J25),3)</f>
        <v>85</v>
      </c>
      <c r="J19" s="49">
        <f>round(AVERAGE('Juri 3'!K25,'Juri 2'!K25,'Juri 1'!K25),3)</f>
        <v>83.667</v>
      </c>
      <c r="K19" s="44">
        <v>80.0</v>
      </c>
      <c r="L19" s="44">
        <v>70.0</v>
      </c>
      <c r="M19" s="44">
        <v>80.0</v>
      </c>
      <c r="N19" s="44">
        <v>80.0</v>
      </c>
      <c r="O19" s="49">
        <f>round(AVERAGE(I19,'Juri 2'!I18),3)</f>
        <v>85</v>
      </c>
      <c r="P19" s="50">
        <v>88.0</v>
      </c>
      <c r="Q19" s="50">
        <v>70.0</v>
      </c>
      <c r="R19" s="50">
        <v>85.0</v>
      </c>
      <c r="S19" s="50">
        <v>90.0</v>
      </c>
      <c r="T19" s="50">
        <v>89.0</v>
      </c>
      <c r="U19" s="50">
        <v>90.0</v>
      </c>
      <c r="V19" s="43"/>
      <c r="W19" s="43"/>
      <c r="X19" s="43"/>
      <c r="Y19" s="43"/>
      <c r="Z19" s="43"/>
      <c r="AA19" s="43"/>
      <c r="AB19" s="43"/>
    </row>
    <row r="20">
      <c r="A20" s="43"/>
      <c r="B20" s="44">
        <v>17.0</v>
      </c>
      <c r="C20" s="12" t="s">
        <v>42</v>
      </c>
      <c r="D20" s="13" t="s">
        <v>18</v>
      </c>
      <c r="E20" s="44" t="s">
        <v>24</v>
      </c>
      <c r="F20" s="44">
        <v>2024.0</v>
      </c>
      <c r="G20" s="49">
        <f>round(AVERAGE('Juri 3'!H26,'Juri 2'!H26,'Juri 1'!H26),3)</f>
        <v>82.333</v>
      </c>
      <c r="H20" s="49">
        <f>round(AVERAGE('Juri 3'!I26,'Juri 2'!I26,'Juri 1'!I26),3)</f>
        <v>81.667</v>
      </c>
      <c r="I20" s="49">
        <f>round(AVERAGE('Juri 3'!J26,'Juri 2'!J26,'Juri 1'!J26),3)</f>
        <v>85</v>
      </c>
      <c r="J20" s="49">
        <f>round(AVERAGE('Juri 3'!K26,'Juri 2'!K26,'Juri 1'!K26),3)</f>
        <v>82.667</v>
      </c>
      <c r="K20" s="44">
        <v>85.0</v>
      </c>
      <c r="L20" s="44">
        <v>78.0</v>
      </c>
      <c r="M20" s="44">
        <v>80.0</v>
      </c>
      <c r="N20" s="44">
        <v>80.0</v>
      </c>
      <c r="O20" s="49">
        <f>round(AVERAGE(I20,'Juri 2'!I19),3)</f>
        <v>85</v>
      </c>
      <c r="P20" s="50">
        <v>85.0</v>
      </c>
      <c r="Q20" s="50">
        <v>70.0</v>
      </c>
      <c r="R20" s="50">
        <v>85.0</v>
      </c>
      <c r="S20" s="50">
        <v>78.0</v>
      </c>
      <c r="T20" s="50">
        <v>84.0</v>
      </c>
      <c r="U20" s="50">
        <v>90.0</v>
      </c>
      <c r="V20" s="43"/>
      <c r="W20" s="43"/>
      <c r="X20" s="43"/>
      <c r="Y20" s="43"/>
      <c r="Z20" s="43"/>
      <c r="AA20" s="43"/>
      <c r="AB20" s="43"/>
    </row>
    <row r="21">
      <c r="A21" s="43"/>
      <c r="B21" s="44">
        <v>18.0</v>
      </c>
      <c r="C21" s="12" t="s">
        <v>43</v>
      </c>
      <c r="D21" s="13" t="s">
        <v>23</v>
      </c>
      <c r="E21" s="44" t="s">
        <v>26</v>
      </c>
      <c r="F21" s="44">
        <v>2024.0</v>
      </c>
      <c r="G21" s="49">
        <f>round(AVERAGE('Juri 3'!H27,'Juri 2'!H27,'Juri 1'!H27),3)</f>
        <v>86.667</v>
      </c>
      <c r="H21" s="49">
        <f>round(AVERAGE('Juri 3'!I27,'Juri 2'!I27,'Juri 1'!I27),3)</f>
        <v>82.333</v>
      </c>
      <c r="I21" s="49">
        <f>round(AVERAGE('Juri 3'!J27,'Juri 2'!J27,'Juri 1'!J27),3)</f>
        <v>86.667</v>
      </c>
      <c r="J21" s="49">
        <f>round(AVERAGE('Juri 3'!K27,'Juri 2'!K27,'Juri 1'!K27),3)</f>
        <v>82.667</v>
      </c>
      <c r="K21" s="44">
        <v>85.0</v>
      </c>
      <c r="L21" s="44">
        <v>78.0</v>
      </c>
      <c r="M21" s="44">
        <v>85.0</v>
      </c>
      <c r="N21" s="44">
        <v>80.0</v>
      </c>
      <c r="O21" s="49">
        <f>round(AVERAGE(I21,'Juri 2'!I20),3)</f>
        <v>87.334</v>
      </c>
      <c r="P21" s="50">
        <v>88.0</v>
      </c>
      <c r="Q21" s="50">
        <v>70.0</v>
      </c>
      <c r="R21" s="50">
        <v>83.0</v>
      </c>
      <c r="S21" s="50">
        <v>85.0</v>
      </c>
      <c r="T21" s="50">
        <v>80.0</v>
      </c>
      <c r="U21" s="50">
        <v>90.0</v>
      </c>
      <c r="V21" s="43"/>
      <c r="W21" s="43"/>
      <c r="X21" s="43"/>
      <c r="Y21" s="43"/>
      <c r="Z21" s="43"/>
      <c r="AA21" s="43"/>
      <c r="AB21" s="43"/>
    </row>
    <row r="22">
      <c r="A22" s="43"/>
      <c r="B22" s="44">
        <v>19.0</v>
      </c>
      <c r="C22" s="12" t="s">
        <v>44</v>
      </c>
      <c r="D22" s="13" t="s">
        <v>18</v>
      </c>
      <c r="E22" s="44" t="s">
        <v>19</v>
      </c>
      <c r="F22" s="44">
        <v>2024.0</v>
      </c>
      <c r="G22" s="49">
        <f>round(AVERAGE('Juri 3'!H28,'Juri 2'!H28,'Juri 1'!H28),3)</f>
        <v>79.333</v>
      </c>
      <c r="H22" s="49">
        <f>round(AVERAGE('Juri 3'!I28,'Juri 2'!I28,'Juri 1'!I28),3)</f>
        <v>81</v>
      </c>
      <c r="I22" s="49">
        <f>round(AVERAGE('Juri 3'!J28,'Juri 2'!J28,'Juri 1'!J28),3)</f>
        <v>81.667</v>
      </c>
      <c r="J22" s="49">
        <f>round(AVERAGE('Juri 3'!K28,'Juri 2'!K28,'Juri 1'!K28),3)</f>
        <v>81.667</v>
      </c>
      <c r="K22" s="44">
        <v>75.0</v>
      </c>
      <c r="L22" s="44">
        <v>65.0</v>
      </c>
      <c r="M22" s="44">
        <v>85.0</v>
      </c>
      <c r="N22" s="44">
        <v>87.0</v>
      </c>
      <c r="O22" s="49">
        <f>round(AVERAGE(I22,'Juri 2'!I21),3)</f>
        <v>83.334</v>
      </c>
      <c r="P22" s="50">
        <v>83.0</v>
      </c>
      <c r="Q22" s="50">
        <v>70.0</v>
      </c>
      <c r="R22" s="50">
        <v>85.0</v>
      </c>
      <c r="S22" s="50">
        <v>83.0</v>
      </c>
      <c r="T22" s="50">
        <v>80.0</v>
      </c>
      <c r="U22" s="50">
        <v>90.0</v>
      </c>
      <c r="V22" s="43"/>
      <c r="W22" s="43"/>
      <c r="X22" s="43"/>
      <c r="Y22" s="43"/>
      <c r="Z22" s="43"/>
      <c r="AA22" s="43"/>
      <c r="AB22" s="43"/>
    </row>
    <row r="23">
      <c r="A23" s="43"/>
      <c r="B23" s="44">
        <v>20.0</v>
      </c>
      <c r="C23" s="12" t="s">
        <v>45</v>
      </c>
      <c r="D23" s="4" t="s">
        <v>23</v>
      </c>
      <c r="E23" s="44" t="s">
        <v>21</v>
      </c>
      <c r="F23" s="44">
        <v>2024.0</v>
      </c>
      <c r="G23" s="49">
        <f>round(AVERAGE('Juri 3'!H29,'Juri 2'!H29,'Juri 1'!H29),3)</f>
        <v>84</v>
      </c>
      <c r="H23" s="49">
        <f>round(AVERAGE('Juri 3'!I29,'Juri 2'!I29,'Juri 1'!I29),3)</f>
        <v>86</v>
      </c>
      <c r="I23" s="49">
        <f>round(AVERAGE('Juri 3'!J29,'Juri 2'!J29,'Juri 1'!J29),3)</f>
        <v>85</v>
      </c>
      <c r="J23" s="49">
        <f>round(AVERAGE('Juri 3'!K29,'Juri 2'!K29,'Juri 1'!K29),3)</f>
        <v>85</v>
      </c>
      <c r="K23" s="44">
        <v>80.0</v>
      </c>
      <c r="L23" s="44">
        <v>77.0</v>
      </c>
      <c r="M23" s="44">
        <v>80.0</v>
      </c>
      <c r="N23" s="44">
        <v>90.0</v>
      </c>
      <c r="O23" s="49">
        <f>round(AVERAGE(I23,'Juri 2'!I22),3)</f>
        <v>82.5</v>
      </c>
      <c r="P23" s="50">
        <v>88.0</v>
      </c>
      <c r="Q23" s="50">
        <v>80.0</v>
      </c>
      <c r="R23" s="50">
        <v>90.0</v>
      </c>
      <c r="S23" s="50">
        <v>90.0</v>
      </c>
      <c r="T23" s="50">
        <v>80.0</v>
      </c>
      <c r="U23" s="50">
        <v>90.0</v>
      </c>
      <c r="V23" s="43"/>
      <c r="W23" s="43"/>
      <c r="X23" s="43"/>
      <c r="Y23" s="43"/>
      <c r="Z23" s="43"/>
      <c r="AA23" s="43"/>
      <c r="AB23" s="43"/>
    </row>
    <row r="24">
      <c r="A24" s="43"/>
      <c r="B24" s="44">
        <v>21.0</v>
      </c>
      <c r="C24" s="12" t="s">
        <v>46</v>
      </c>
      <c r="D24" s="13" t="s">
        <v>18</v>
      </c>
      <c r="E24" s="44" t="s">
        <v>19</v>
      </c>
      <c r="F24" s="44">
        <v>2024.0</v>
      </c>
      <c r="G24" s="49">
        <f>round(AVERAGE('Juri 3'!H30,'Juri 2'!H30,'Juri 1'!H30),3)</f>
        <v>85</v>
      </c>
      <c r="H24" s="49">
        <f>round(AVERAGE('Juri 3'!I30,'Juri 2'!I30,'Juri 1'!I30),3)</f>
        <v>82.667</v>
      </c>
      <c r="I24" s="49">
        <f>round(AVERAGE('Juri 3'!J30,'Juri 2'!J30,'Juri 1'!J30),3)</f>
        <v>83.333</v>
      </c>
      <c r="J24" s="49">
        <f>round(AVERAGE('Juri 3'!K30,'Juri 2'!K30,'Juri 1'!K30),3)</f>
        <v>82</v>
      </c>
      <c r="K24" s="44">
        <v>80.0</v>
      </c>
      <c r="L24" s="44">
        <v>79.0</v>
      </c>
      <c r="M24" s="44">
        <v>85.0</v>
      </c>
      <c r="N24" s="44">
        <v>84.0</v>
      </c>
      <c r="O24" s="49">
        <f>round(AVERAGE(I24,'Juri 2'!I23),3)</f>
        <v>86.667</v>
      </c>
      <c r="P24" s="50">
        <v>88.0</v>
      </c>
      <c r="Q24" s="50">
        <v>70.0</v>
      </c>
      <c r="R24" s="50">
        <v>85.0</v>
      </c>
      <c r="S24" s="50">
        <v>85.0</v>
      </c>
      <c r="T24" s="50">
        <v>83.0</v>
      </c>
      <c r="U24" s="50">
        <v>90.0</v>
      </c>
      <c r="V24" s="43"/>
      <c r="W24" s="43"/>
      <c r="X24" s="43"/>
      <c r="Y24" s="43"/>
      <c r="Z24" s="43"/>
      <c r="AA24" s="43"/>
      <c r="AB24" s="43"/>
    </row>
    <row r="25">
      <c r="A25" s="43"/>
      <c r="B25" s="44">
        <v>22.0</v>
      </c>
      <c r="C25" s="12" t="s">
        <v>47</v>
      </c>
      <c r="D25" s="4" t="s">
        <v>23</v>
      </c>
      <c r="E25" s="44" t="s">
        <v>19</v>
      </c>
      <c r="F25" s="44">
        <v>2024.0</v>
      </c>
      <c r="G25" s="49">
        <f>round(AVERAGE('Juri 3'!H31,'Juri 2'!H31,'Juri 1'!H31),3)</f>
        <v>76.667</v>
      </c>
      <c r="H25" s="49">
        <f>round(AVERAGE('Juri 3'!I31,'Juri 2'!I31,'Juri 1'!I31),3)</f>
        <v>81.667</v>
      </c>
      <c r="I25" s="49">
        <f>round(AVERAGE('Juri 3'!J31,'Juri 2'!J31,'Juri 1'!J31),3)</f>
        <v>85</v>
      </c>
      <c r="J25" s="49">
        <f>round(AVERAGE('Juri 3'!K31,'Juri 2'!K31,'Juri 1'!K31),3)</f>
        <v>82.333</v>
      </c>
      <c r="K25" s="44">
        <v>75.0</v>
      </c>
      <c r="L25" s="44">
        <v>65.0</v>
      </c>
      <c r="M25" s="44">
        <v>85.0</v>
      </c>
      <c r="N25" s="44">
        <v>80.0</v>
      </c>
      <c r="O25" s="49">
        <f>round(AVERAGE(I25,'Juri 2'!I24),3)</f>
        <v>85</v>
      </c>
      <c r="P25" s="50">
        <v>80.0</v>
      </c>
      <c r="Q25" s="50">
        <v>70.0</v>
      </c>
      <c r="R25" s="50">
        <v>80.0</v>
      </c>
      <c r="S25" s="50">
        <v>70.0</v>
      </c>
      <c r="T25" s="50">
        <v>80.0</v>
      </c>
      <c r="U25" s="50">
        <v>85.0</v>
      </c>
      <c r="V25" s="43"/>
      <c r="W25" s="43"/>
      <c r="X25" s="43"/>
      <c r="Y25" s="43"/>
      <c r="Z25" s="43"/>
      <c r="AA25" s="43"/>
      <c r="AB25" s="43"/>
    </row>
    <row r="26">
      <c r="A26" s="43"/>
      <c r="B26" s="44">
        <v>23.0</v>
      </c>
      <c r="C26" s="12" t="s">
        <v>48</v>
      </c>
      <c r="D26" s="13" t="s">
        <v>18</v>
      </c>
      <c r="E26" s="44" t="s">
        <v>19</v>
      </c>
      <c r="F26" s="44">
        <v>2024.0</v>
      </c>
      <c r="G26" s="49">
        <f>round(AVERAGE('Juri 3'!H32,'Juri 2'!H32,'Juri 1'!H32),3)</f>
        <v>90</v>
      </c>
      <c r="H26" s="49">
        <f>round(AVERAGE('Juri 3'!I32,'Juri 2'!I32,'Juri 1'!I32),3)</f>
        <v>87.667</v>
      </c>
      <c r="I26" s="49">
        <f>round(AVERAGE('Juri 3'!J32,'Juri 2'!J32,'Juri 1'!J32),3)</f>
        <v>85</v>
      </c>
      <c r="J26" s="49">
        <f>round(AVERAGE('Juri 3'!K32,'Juri 2'!K32,'Juri 1'!K32),3)</f>
        <v>87.667</v>
      </c>
      <c r="K26" s="44">
        <v>80.0</v>
      </c>
      <c r="L26" s="44">
        <v>70.0</v>
      </c>
      <c r="M26" s="44">
        <v>85.0</v>
      </c>
      <c r="N26" s="44">
        <v>90.0</v>
      </c>
      <c r="O26" s="49">
        <f>round(AVERAGE(I26,'Juri 2'!I25),3)</f>
        <v>85</v>
      </c>
      <c r="P26" s="50">
        <v>88.0</v>
      </c>
      <c r="Q26" s="50">
        <v>70.0</v>
      </c>
      <c r="R26" s="50">
        <v>85.0</v>
      </c>
      <c r="S26" s="50">
        <v>88.0</v>
      </c>
      <c r="T26" s="50">
        <v>90.0</v>
      </c>
      <c r="U26" s="50">
        <v>90.0</v>
      </c>
      <c r="V26" s="43"/>
      <c r="W26" s="43"/>
      <c r="X26" s="43"/>
      <c r="Y26" s="43"/>
      <c r="Z26" s="43"/>
      <c r="AA26" s="43"/>
      <c r="AB26" s="43"/>
    </row>
    <row r="27">
      <c r="A27" s="43"/>
      <c r="B27" s="44">
        <v>24.0</v>
      </c>
      <c r="C27" s="12" t="s">
        <v>49</v>
      </c>
      <c r="D27" s="4" t="s">
        <v>23</v>
      </c>
      <c r="E27" s="44" t="s">
        <v>26</v>
      </c>
      <c r="F27" s="44">
        <v>2024.0</v>
      </c>
      <c r="G27" s="49">
        <f>round(AVERAGE('Juri 3'!H33,'Juri 2'!H33,'Juri 1'!H33),3)</f>
        <v>85.333</v>
      </c>
      <c r="H27" s="49">
        <f>round(AVERAGE('Juri 3'!I33,'Juri 2'!I33,'Juri 1'!I33),3)</f>
        <v>86.667</v>
      </c>
      <c r="I27" s="49">
        <f>round(AVERAGE('Juri 3'!J33,'Juri 2'!J33,'Juri 1'!J33),3)</f>
        <v>86.333</v>
      </c>
      <c r="J27" s="49">
        <f>round(AVERAGE('Juri 3'!K33,'Juri 2'!K33,'Juri 1'!K33),3)</f>
        <v>88.667</v>
      </c>
      <c r="K27" s="44">
        <v>80.0</v>
      </c>
      <c r="L27" s="44">
        <v>80.0</v>
      </c>
      <c r="M27" s="44">
        <v>90.0</v>
      </c>
      <c r="N27" s="44">
        <v>80.0</v>
      </c>
      <c r="O27" s="49">
        <f>round(AVERAGE(I27,'Juri 2'!I26),3)</f>
        <v>85.667</v>
      </c>
      <c r="P27" s="50">
        <v>87.0</v>
      </c>
      <c r="Q27" s="50">
        <v>70.0</v>
      </c>
      <c r="R27" s="50">
        <v>87.0</v>
      </c>
      <c r="S27" s="50">
        <v>87.0</v>
      </c>
      <c r="T27" s="50">
        <v>88.0</v>
      </c>
      <c r="U27" s="50">
        <v>90.0</v>
      </c>
      <c r="V27" s="43"/>
      <c r="W27" s="43"/>
      <c r="X27" s="43"/>
      <c r="Y27" s="43"/>
      <c r="Z27" s="43"/>
      <c r="AA27" s="43"/>
      <c r="AB27" s="43"/>
    </row>
    <row r="28">
      <c r="A28" s="43"/>
      <c r="B28" s="44">
        <v>25.0</v>
      </c>
      <c r="C28" s="12" t="s">
        <v>50</v>
      </c>
      <c r="D28" s="4" t="s">
        <v>18</v>
      </c>
      <c r="E28" s="44" t="s">
        <v>31</v>
      </c>
      <c r="F28" s="44">
        <v>2024.0</v>
      </c>
      <c r="G28" s="49">
        <f>round(AVERAGE('Juri 3'!H34,'Juri 2'!H34,'Juri 1'!H34),3)</f>
        <v>85.667</v>
      </c>
      <c r="H28" s="49">
        <f>round(AVERAGE('Juri 3'!I34,'Juri 2'!I34,'Juri 1'!I34),3)</f>
        <v>81</v>
      </c>
      <c r="I28" s="49">
        <f>round(AVERAGE('Juri 3'!J34,'Juri 2'!J34,'Juri 1'!J34),3)</f>
        <v>88</v>
      </c>
      <c r="J28" s="49">
        <f>round(AVERAGE('Juri 3'!K34,'Juri 2'!K34,'Juri 1'!K34),3)</f>
        <v>82.667</v>
      </c>
      <c r="K28" s="44">
        <v>80.0</v>
      </c>
      <c r="L28" s="44">
        <v>80.0</v>
      </c>
      <c r="M28" s="44">
        <v>86.0</v>
      </c>
      <c r="N28" s="44">
        <v>85.0</v>
      </c>
      <c r="O28" s="49">
        <f>round(AVERAGE(I28,'Juri 2'!I27),3)</f>
        <v>86.5</v>
      </c>
      <c r="P28" s="50">
        <v>86.0</v>
      </c>
      <c r="Q28" s="50">
        <v>70.0</v>
      </c>
      <c r="R28" s="50">
        <v>86.0</v>
      </c>
      <c r="S28" s="50">
        <v>84.0</v>
      </c>
      <c r="T28" s="50">
        <v>86.0</v>
      </c>
      <c r="U28" s="50">
        <v>90.0</v>
      </c>
      <c r="V28" s="43"/>
      <c r="W28" s="43"/>
      <c r="X28" s="43"/>
      <c r="Y28" s="43"/>
      <c r="Z28" s="43"/>
      <c r="AA28" s="43"/>
      <c r="AB28" s="43"/>
    </row>
    <row r="29">
      <c r="A29" s="43"/>
      <c r="B29" s="44">
        <v>26.0</v>
      </c>
      <c r="C29" s="12" t="s">
        <v>51</v>
      </c>
      <c r="D29" s="13" t="s">
        <v>23</v>
      </c>
      <c r="E29" s="44" t="s">
        <v>31</v>
      </c>
      <c r="F29" s="44">
        <v>2024.0</v>
      </c>
      <c r="G29" s="49">
        <f>round(AVERAGE('Juri 3'!H35,'Juri 2'!H35,'Juri 1'!H35),3)</f>
        <v>89.667</v>
      </c>
      <c r="H29" s="49">
        <f>round(AVERAGE('Juri 3'!I35,'Juri 2'!I35,'Juri 1'!I35),3)</f>
        <v>87</v>
      </c>
      <c r="I29" s="49">
        <f>round(AVERAGE('Juri 3'!J35,'Juri 2'!J35,'Juri 1'!J35),3)</f>
        <v>86.667</v>
      </c>
      <c r="J29" s="49">
        <f>round(AVERAGE('Juri 3'!K35,'Juri 2'!K35,'Juri 1'!K35),3)</f>
        <v>86</v>
      </c>
      <c r="K29" s="44">
        <v>85.0</v>
      </c>
      <c r="L29" s="44">
        <v>78.0</v>
      </c>
      <c r="M29" s="44">
        <v>75.0</v>
      </c>
      <c r="N29" s="44">
        <v>90.0</v>
      </c>
      <c r="O29" s="49">
        <f>round(AVERAGE(I29,'Juri 2'!I28),3)</f>
        <v>84.834</v>
      </c>
      <c r="P29" s="50">
        <v>88.0</v>
      </c>
      <c r="Q29" s="50">
        <v>90.0</v>
      </c>
      <c r="R29" s="50">
        <v>88.0</v>
      </c>
      <c r="S29" s="50">
        <v>90.0</v>
      </c>
      <c r="T29" s="50">
        <v>90.0</v>
      </c>
      <c r="U29" s="50">
        <v>90.0</v>
      </c>
      <c r="V29" s="43"/>
      <c r="W29" s="43"/>
      <c r="X29" s="43"/>
      <c r="Y29" s="43"/>
      <c r="Z29" s="43"/>
      <c r="AA29" s="43"/>
      <c r="AB29" s="43"/>
    </row>
    <row r="30">
      <c r="A30" s="43"/>
      <c r="B30" s="44">
        <v>27.0</v>
      </c>
      <c r="C30" s="12" t="s">
        <v>52</v>
      </c>
      <c r="D30" s="4" t="s">
        <v>18</v>
      </c>
      <c r="E30" s="44" t="s">
        <v>21</v>
      </c>
      <c r="F30" s="44">
        <v>2024.0</v>
      </c>
      <c r="G30" s="49">
        <f>round(AVERAGE('Juri 3'!H36,'Juri 2'!H36,'Juri 1'!H36),3)</f>
        <v>86.333</v>
      </c>
      <c r="H30" s="49">
        <f>round(AVERAGE('Juri 3'!I36,'Juri 2'!I36,'Juri 1'!I36),3)</f>
        <v>88</v>
      </c>
      <c r="I30" s="49">
        <f>round(AVERAGE('Juri 3'!J36,'Juri 2'!J36,'Juri 1'!J36),3)</f>
        <v>85</v>
      </c>
      <c r="J30" s="49">
        <f>round(AVERAGE('Juri 3'!K36,'Juri 2'!K36,'Juri 1'!K36),3)</f>
        <v>86.667</v>
      </c>
      <c r="K30" s="44">
        <v>80.0</v>
      </c>
      <c r="L30" s="44">
        <v>75.0</v>
      </c>
      <c r="M30" s="44">
        <v>85.0</v>
      </c>
      <c r="N30" s="44">
        <v>83.0</v>
      </c>
      <c r="O30" s="49">
        <f>round(AVERAGE(I30,'Juri 2'!I29),3)</f>
        <v>86.5</v>
      </c>
      <c r="P30" s="50">
        <v>89.0</v>
      </c>
      <c r="Q30" s="50">
        <v>90.0</v>
      </c>
      <c r="R30" s="50">
        <v>89.0</v>
      </c>
      <c r="S30" s="50">
        <v>90.0</v>
      </c>
      <c r="T30" s="50">
        <v>90.0</v>
      </c>
      <c r="U30" s="50">
        <v>89.0</v>
      </c>
      <c r="V30" s="43"/>
      <c r="W30" s="43"/>
      <c r="X30" s="43"/>
      <c r="Y30" s="43"/>
      <c r="Z30" s="43"/>
      <c r="AA30" s="43"/>
      <c r="AB30" s="43"/>
    </row>
    <row r="31">
      <c r="A31" s="43"/>
      <c r="B31" s="44">
        <v>28.0</v>
      </c>
      <c r="C31" s="12" t="s">
        <v>53</v>
      </c>
      <c r="D31" s="4" t="s">
        <v>18</v>
      </c>
      <c r="E31" s="44" t="s">
        <v>31</v>
      </c>
      <c r="F31" s="44">
        <v>2024.0</v>
      </c>
      <c r="G31" s="49">
        <f>round(AVERAGE('Juri 3'!H37,'Juri 2'!H37,'Juri 1'!H37),3)</f>
        <v>82</v>
      </c>
      <c r="H31" s="49">
        <f>round(AVERAGE('Juri 3'!I37,'Juri 2'!I37,'Juri 1'!I37),3)</f>
        <v>83.667</v>
      </c>
      <c r="I31" s="49">
        <f>round(AVERAGE('Juri 3'!J37,'Juri 2'!J37,'Juri 1'!J37),3)</f>
        <v>82</v>
      </c>
      <c r="J31" s="49">
        <f>round(AVERAGE('Juri 3'!K37,'Juri 2'!K37,'Juri 1'!K37),3)</f>
        <v>80.667</v>
      </c>
      <c r="K31" s="44">
        <v>90.0</v>
      </c>
      <c r="L31" s="44">
        <v>82.0</v>
      </c>
      <c r="M31" s="44">
        <v>85.0</v>
      </c>
      <c r="N31" s="44">
        <v>80.0</v>
      </c>
      <c r="O31" s="49">
        <f>round(AVERAGE(I31,'Juri 2'!I30),3)</f>
        <v>83.5</v>
      </c>
      <c r="P31" s="50">
        <v>83.0</v>
      </c>
      <c r="Q31" s="50">
        <v>80.0</v>
      </c>
      <c r="R31" s="50">
        <v>83.0</v>
      </c>
      <c r="S31" s="50">
        <v>83.0</v>
      </c>
      <c r="T31" s="50">
        <v>81.0</v>
      </c>
      <c r="U31" s="50">
        <v>89.0</v>
      </c>
      <c r="V31" s="43"/>
      <c r="W31" s="43"/>
      <c r="X31" s="43"/>
      <c r="Y31" s="43"/>
      <c r="Z31" s="43"/>
      <c r="AA31" s="43"/>
      <c r="AB31" s="43"/>
    </row>
    <row r="32">
      <c r="A32" s="43"/>
      <c r="B32" s="44">
        <v>29.0</v>
      </c>
      <c r="C32" s="12" t="s">
        <v>54</v>
      </c>
      <c r="D32" s="4" t="s">
        <v>23</v>
      </c>
      <c r="E32" s="44" t="s">
        <v>21</v>
      </c>
      <c r="F32" s="44">
        <v>2024.0</v>
      </c>
      <c r="G32" s="49">
        <f>round(AVERAGE('Juri 3'!H38,'Juri 2'!H38,'Juri 1'!H38),3)</f>
        <v>84.333</v>
      </c>
      <c r="H32" s="49">
        <f>round(AVERAGE('Juri 3'!I38,'Juri 2'!I38,'Juri 1'!I38),3)</f>
        <v>83</v>
      </c>
      <c r="I32" s="49">
        <f>round(AVERAGE('Juri 3'!J38,'Juri 2'!J38,'Juri 1'!J38),3)</f>
        <v>87</v>
      </c>
      <c r="J32" s="49">
        <f>round(AVERAGE('Juri 3'!K38,'Juri 2'!K38,'Juri 1'!K38),3)</f>
        <v>83</v>
      </c>
      <c r="K32" s="44">
        <v>75.0</v>
      </c>
      <c r="L32" s="44">
        <v>75.0</v>
      </c>
      <c r="M32" s="44">
        <v>86.0</v>
      </c>
      <c r="N32" s="44">
        <v>80.0</v>
      </c>
      <c r="O32" s="49">
        <f>round(AVERAGE(I32,'Juri 2'!I31),3)</f>
        <v>86</v>
      </c>
      <c r="P32" s="50">
        <v>86.0</v>
      </c>
      <c r="Q32" s="50">
        <v>70.0</v>
      </c>
      <c r="R32" s="50">
        <v>86.0</v>
      </c>
      <c r="S32" s="50">
        <v>85.0</v>
      </c>
      <c r="T32" s="50">
        <v>85.0</v>
      </c>
      <c r="U32" s="50">
        <v>88.0</v>
      </c>
      <c r="V32" s="43"/>
      <c r="W32" s="43"/>
      <c r="X32" s="43"/>
      <c r="Y32" s="43"/>
      <c r="Z32" s="43"/>
      <c r="AA32" s="43"/>
      <c r="AB32" s="43"/>
    </row>
    <row r="33">
      <c r="A33" s="43"/>
      <c r="B33" s="44">
        <v>30.0</v>
      </c>
      <c r="C33" s="12" t="s">
        <v>55</v>
      </c>
      <c r="D33" s="13" t="s">
        <v>18</v>
      </c>
      <c r="E33" s="44" t="s">
        <v>38</v>
      </c>
      <c r="F33" s="44">
        <v>2023.0</v>
      </c>
      <c r="G33" s="49">
        <f>round(AVERAGE('Juri 3'!H39,'Juri 2'!H39,'Juri 1'!H39),3)</f>
        <v>86.667</v>
      </c>
      <c r="H33" s="49">
        <f>round(AVERAGE('Juri 3'!I39,'Juri 2'!I39,'Juri 1'!I39),3)</f>
        <v>84.667</v>
      </c>
      <c r="I33" s="49">
        <f>round(AVERAGE('Juri 3'!J39,'Juri 2'!J39,'Juri 1'!J39),3)</f>
        <v>84.667</v>
      </c>
      <c r="J33" s="49">
        <f>round(AVERAGE('Juri 3'!K39,'Juri 2'!K39,'Juri 1'!K39),3)</f>
        <v>86.333</v>
      </c>
      <c r="K33" s="44">
        <v>80.0</v>
      </c>
      <c r="L33" s="44">
        <v>74.0</v>
      </c>
      <c r="M33" s="44">
        <v>85.0</v>
      </c>
      <c r="N33" s="44">
        <v>85.0</v>
      </c>
      <c r="O33" s="49">
        <f>round(AVERAGE(I33,'Juri 2'!I32),3)</f>
        <v>86.334</v>
      </c>
      <c r="P33" s="50">
        <v>86.0</v>
      </c>
      <c r="Q33" s="50">
        <v>70.0</v>
      </c>
      <c r="R33" s="50">
        <v>86.0</v>
      </c>
      <c r="S33" s="50">
        <v>87.0</v>
      </c>
      <c r="T33" s="50">
        <v>85.0</v>
      </c>
      <c r="U33" s="50">
        <v>90.0</v>
      </c>
      <c r="V33" s="43"/>
      <c r="W33" s="43"/>
      <c r="X33" s="43"/>
      <c r="Y33" s="43"/>
      <c r="Z33" s="43"/>
      <c r="AA33" s="43"/>
      <c r="AB33" s="43"/>
    </row>
    <row r="34">
      <c r="A34" s="43"/>
      <c r="B34" s="44">
        <v>31.0</v>
      </c>
      <c r="C34" s="12" t="s">
        <v>56</v>
      </c>
      <c r="D34" s="4" t="s">
        <v>23</v>
      </c>
      <c r="E34" s="44" t="s">
        <v>26</v>
      </c>
      <c r="F34" s="44">
        <v>2024.0</v>
      </c>
      <c r="G34" s="49">
        <f>round(AVERAGE('Juri 3'!H40,'Juri 2'!H40,'Juri 1'!H40),3)</f>
        <v>81</v>
      </c>
      <c r="H34" s="49">
        <f>round(AVERAGE('Juri 3'!I40,'Juri 2'!I40,'Juri 1'!I40),3)</f>
        <v>81.667</v>
      </c>
      <c r="I34" s="49">
        <f>round(AVERAGE('Juri 3'!J40,'Juri 2'!J40,'Juri 1'!J40),3)</f>
        <v>82.333</v>
      </c>
      <c r="J34" s="49">
        <f>round(AVERAGE('Juri 3'!K40,'Juri 2'!K40,'Juri 1'!K40),3)</f>
        <v>81.667</v>
      </c>
      <c r="K34" s="44">
        <v>80.0</v>
      </c>
      <c r="L34" s="44">
        <v>70.0</v>
      </c>
      <c r="M34" s="44">
        <v>80.0</v>
      </c>
      <c r="N34" s="44">
        <v>80.0</v>
      </c>
      <c r="O34" s="49">
        <f>round(AVERAGE(I34,'Juri 2'!I33),3)</f>
        <v>84.667</v>
      </c>
      <c r="P34" s="50">
        <v>83.0</v>
      </c>
      <c r="Q34" s="50">
        <v>70.0</v>
      </c>
      <c r="R34" s="50">
        <v>83.0</v>
      </c>
      <c r="S34" s="50">
        <v>84.0</v>
      </c>
      <c r="T34" s="50">
        <v>84.0</v>
      </c>
      <c r="U34" s="50">
        <v>90.0</v>
      </c>
      <c r="V34" s="43"/>
      <c r="W34" s="43"/>
      <c r="X34" s="43"/>
      <c r="Y34" s="43"/>
      <c r="Z34" s="43"/>
      <c r="AA34" s="43"/>
      <c r="AB34" s="43"/>
    </row>
    <row r="35">
      <c r="A35" s="43"/>
      <c r="B35" s="44">
        <v>32.0</v>
      </c>
      <c r="C35" s="12" t="s">
        <v>57</v>
      </c>
      <c r="D35" s="4" t="s">
        <v>23</v>
      </c>
      <c r="E35" s="44" t="s">
        <v>26</v>
      </c>
      <c r="F35" s="44">
        <v>2024.0</v>
      </c>
      <c r="G35" s="49">
        <f>round(AVERAGE('Juri 3'!H41,'Juri 2'!H41,'Juri 1'!H41),3)</f>
        <v>85</v>
      </c>
      <c r="H35" s="49">
        <f>round(AVERAGE('Juri 3'!I41,'Juri 2'!I41,'Juri 1'!I41),3)</f>
        <v>84.667</v>
      </c>
      <c r="I35" s="49">
        <f>round(AVERAGE('Juri 3'!J41,'Juri 2'!J41,'Juri 1'!J41),3)</f>
        <v>85.333</v>
      </c>
      <c r="J35" s="49">
        <f>round(AVERAGE('Juri 3'!K41,'Juri 2'!K41,'Juri 1'!K41),3)</f>
        <v>86.667</v>
      </c>
      <c r="K35" s="44">
        <v>80.0</v>
      </c>
      <c r="L35" s="44">
        <v>77.0</v>
      </c>
      <c r="M35" s="44">
        <v>84.0</v>
      </c>
      <c r="N35" s="44">
        <v>80.0</v>
      </c>
      <c r="O35" s="49">
        <f>round(AVERAGE(I35,'Juri 2'!I34),3)</f>
        <v>85.667</v>
      </c>
      <c r="P35" s="50">
        <v>85.0</v>
      </c>
      <c r="Q35" s="50">
        <v>70.0</v>
      </c>
      <c r="R35" s="50">
        <v>85.0</v>
      </c>
      <c r="S35" s="50">
        <v>86.0</v>
      </c>
      <c r="T35" s="50">
        <v>86.0</v>
      </c>
      <c r="U35" s="50">
        <v>90.0</v>
      </c>
      <c r="V35" s="43"/>
      <c r="W35" s="43"/>
      <c r="X35" s="43"/>
      <c r="Y35" s="43"/>
      <c r="Z35" s="43"/>
      <c r="AA35" s="43"/>
      <c r="AB35" s="43"/>
    </row>
    <row r="36">
      <c r="A36" s="43"/>
      <c r="B36" s="44">
        <v>33.0</v>
      </c>
      <c r="C36" s="12" t="s">
        <v>58</v>
      </c>
      <c r="D36" s="4" t="s">
        <v>18</v>
      </c>
      <c r="E36" s="44" t="s">
        <v>38</v>
      </c>
      <c r="F36" s="44">
        <v>2023.0</v>
      </c>
      <c r="G36" s="49">
        <f>round(AVERAGE('Juri 3'!H42,'Juri 2'!H42,'Juri 1'!H42),3)</f>
        <v>86</v>
      </c>
      <c r="H36" s="49">
        <f>round(AVERAGE('Juri 3'!I42,'Juri 2'!I42,'Juri 1'!I42),3)</f>
        <v>84.333</v>
      </c>
      <c r="I36" s="49">
        <f>round(AVERAGE('Juri 3'!J42,'Juri 2'!J42,'Juri 1'!J42),3)</f>
        <v>86</v>
      </c>
      <c r="J36" s="49">
        <f>round(AVERAGE('Juri 3'!K42,'Juri 2'!K42,'Juri 1'!K42),3)</f>
        <v>86.667</v>
      </c>
      <c r="K36" s="44">
        <v>90.0</v>
      </c>
      <c r="L36" s="44">
        <v>80.0</v>
      </c>
      <c r="M36" s="44">
        <v>85.0</v>
      </c>
      <c r="N36" s="44">
        <v>82.0</v>
      </c>
      <c r="O36" s="49">
        <f>round(AVERAGE(I36,'Juri 2'!I35),3)</f>
        <v>87</v>
      </c>
      <c r="P36" s="50">
        <v>88.0</v>
      </c>
      <c r="Q36" s="50">
        <v>70.0</v>
      </c>
      <c r="R36" s="50">
        <v>88.0</v>
      </c>
      <c r="S36" s="50">
        <v>85.0</v>
      </c>
      <c r="T36" s="50">
        <v>85.0</v>
      </c>
      <c r="U36" s="50">
        <v>89.0</v>
      </c>
      <c r="V36" s="43"/>
      <c r="W36" s="43"/>
      <c r="X36" s="43"/>
      <c r="Y36" s="43"/>
      <c r="Z36" s="43"/>
      <c r="AA36" s="43"/>
      <c r="AB36" s="43"/>
    </row>
    <row r="37">
      <c r="A37" s="43"/>
      <c r="B37" s="44">
        <v>34.0</v>
      </c>
      <c r="C37" s="12" t="s">
        <v>59</v>
      </c>
      <c r="D37" s="4" t="s">
        <v>23</v>
      </c>
      <c r="E37" s="44" t="s">
        <v>29</v>
      </c>
      <c r="F37" s="44">
        <v>2023.0</v>
      </c>
      <c r="G37" s="49">
        <f>round(AVERAGE('Juri 3'!H43,'Juri 2'!H43,'Juri 1'!H43),3)</f>
        <v>84.333</v>
      </c>
      <c r="H37" s="49">
        <f>round(AVERAGE('Juri 3'!I43,'Juri 2'!I43,'Juri 1'!I43),3)</f>
        <v>84.333</v>
      </c>
      <c r="I37" s="49">
        <f>round(AVERAGE('Juri 3'!J43,'Juri 2'!J43,'Juri 1'!J43),3)</f>
        <v>84.667</v>
      </c>
      <c r="J37" s="49">
        <f>round(AVERAGE('Juri 3'!K43,'Juri 2'!K43,'Juri 1'!K43),3)</f>
        <v>84.333</v>
      </c>
      <c r="K37" s="44">
        <v>80.0</v>
      </c>
      <c r="L37" s="44">
        <v>70.0</v>
      </c>
      <c r="M37" s="44">
        <v>85.0</v>
      </c>
      <c r="N37" s="44">
        <v>85.0</v>
      </c>
      <c r="O37" s="49">
        <f>round(AVERAGE(I37,'Juri 2'!I36),3)</f>
        <v>86.834</v>
      </c>
      <c r="P37" s="51">
        <v>88.0</v>
      </c>
      <c r="Q37" s="51">
        <v>70.0</v>
      </c>
      <c r="R37" s="51">
        <v>88.0</v>
      </c>
      <c r="S37" s="50">
        <v>86.0</v>
      </c>
      <c r="T37" s="50">
        <v>84.0</v>
      </c>
      <c r="U37" s="50">
        <v>86.0</v>
      </c>
      <c r="V37" s="43"/>
      <c r="W37" s="43"/>
      <c r="X37" s="43"/>
      <c r="Y37" s="43"/>
      <c r="Z37" s="43"/>
      <c r="AA37" s="43"/>
      <c r="AB37" s="43"/>
    </row>
    <row r="38">
      <c r="A38" s="43"/>
      <c r="B38" s="44">
        <v>35.0</v>
      </c>
      <c r="C38" s="12" t="s">
        <v>60</v>
      </c>
      <c r="D38" s="13" t="s">
        <v>18</v>
      </c>
      <c r="E38" s="44" t="s">
        <v>19</v>
      </c>
      <c r="F38" s="44">
        <v>2024.0</v>
      </c>
      <c r="G38" s="49">
        <f>round(AVERAGE('Juri 3'!H44,'Juri 2'!H44,'Juri 1'!H44),3)</f>
        <v>89</v>
      </c>
      <c r="H38" s="49">
        <f>round(AVERAGE('Juri 3'!I44,'Juri 2'!I44,'Juri 1'!I44),3)</f>
        <v>88.667</v>
      </c>
      <c r="I38" s="49">
        <f>round(AVERAGE('Juri 3'!J44,'Juri 2'!J44,'Juri 1'!J44),3)</f>
        <v>86.333</v>
      </c>
      <c r="J38" s="49">
        <f>round(AVERAGE('Juri 3'!K44,'Juri 2'!K44,'Juri 1'!K44),3)</f>
        <v>88.667</v>
      </c>
      <c r="K38" s="44">
        <v>83.0</v>
      </c>
      <c r="L38" s="44">
        <v>78.0</v>
      </c>
      <c r="M38" s="44">
        <v>85.0</v>
      </c>
      <c r="N38" s="44">
        <v>80.0</v>
      </c>
      <c r="O38" s="49">
        <f>round(AVERAGE(I38,'Juri 2'!I37),3)</f>
        <v>84.667</v>
      </c>
      <c r="P38" s="50">
        <v>89.0</v>
      </c>
      <c r="Q38" s="50">
        <v>80.0</v>
      </c>
      <c r="R38" s="50">
        <v>89.0</v>
      </c>
      <c r="S38" s="50">
        <v>93.0</v>
      </c>
      <c r="T38" s="50">
        <v>90.0</v>
      </c>
      <c r="U38" s="50">
        <v>90.0</v>
      </c>
      <c r="V38" s="43"/>
      <c r="W38" s="43"/>
      <c r="X38" s="43"/>
      <c r="Y38" s="43"/>
      <c r="Z38" s="43"/>
      <c r="AA38" s="43"/>
      <c r="AB38" s="43"/>
    </row>
    <row r="39">
      <c r="A39" s="43"/>
      <c r="B39" s="44">
        <v>36.0</v>
      </c>
      <c r="C39" s="12" t="s">
        <v>61</v>
      </c>
      <c r="D39" s="4" t="s">
        <v>23</v>
      </c>
      <c r="E39" s="44" t="s">
        <v>24</v>
      </c>
      <c r="F39" s="44">
        <v>2024.0</v>
      </c>
      <c r="G39" s="49">
        <f>round(AVERAGE('Juri 3'!H45,'Juri 2'!H45,'Juri 1'!H45),3)</f>
        <v>81.667</v>
      </c>
      <c r="H39" s="49">
        <f>round(AVERAGE('Juri 3'!I45,'Juri 2'!I45,'Juri 1'!I45),3)</f>
        <v>82.333</v>
      </c>
      <c r="I39" s="49">
        <f>round(AVERAGE('Juri 3'!J45,'Juri 2'!J45,'Juri 1'!J45),3)</f>
        <v>83</v>
      </c>
      <c r="J39" s="49">
        <f>round(AVERAGE('Juri 3'!K45,'Juri 2'!K45,'Juri 1'!K45),3)</f>
        <v>84.333</v>
      </c>
      <c r="K39" s="44">
        <v>80.0</v>
      </c>
      <c r="L39" s="44">
        <v>73.0</v>
      </c>
      <c r="M39" s="44">
        <v>87.0</v>
      </c>
      <c r="N39" s="44">
        <v>80.0</v>
      </c>
      <c r="O39" s="49">
        <f>round(AVERAGE(I39,'Juri 2'!I38),3)</f>
        <v>84.5</v>
      </c>
      <c r="P39" s="50">
        <v>85.0</v>
      </c>
      <c r="Q39" s="50">
        <v>70.0</v>
      </c>
      <c r="R39" s="50">
        <v>85.0</v>
      </c>
      <c r="S39" s="50">
        <v>83.0</v>
      </c>
      <c r="T39" s="50">
        <v>88.0</v>
      </c>
      <c r="U39" s="50">
        <v>89.0</v>
      </c>
      <c r="V39" s="43"/>
      <c r="W39" s="43"/>
      <c r="X39" s="43"/>
      <c r="Y39" s="43"/>
      <c r="Z39" s="43"/>
      <c r="AA39" s="43"/>
      <c r="AB39" s="43"/>
    </row>
    <row r="40">
      <c r="A40" s="43"/>
      <c r="B40" s="44">
        <v>37.0</v>
      </c>
      <c r="C40" s="12" t="s">
        <v>62</v>
      </c>
      <c r="D40" s="4" t="s">
        <v>18</v>
      </c>
      <c r="E40" s="44" t="s">
        <v>38</v>
      </c>
      <c r="F40" s="44">
        <v>2023.0</v>
      </c>
      <c r="G40" s="49">
        <f>round(AVERAGE('Juri 3'!H46,'Juri 2'!H46,'Juri 1'!H46),3)</f>
        <v>85</v>
      </c>
      <c r="H40" s="49">
        <f>round(AVERAGE('Juri 3'!I46,'Juri 2'!I46,'Juri 1'!I46),3)</f>
        <v>75</v>
      </c>
      <c r="I40" s="49">
        <f>round(AVERAGE('Juri 3'!J46,'Juri 2'!J46,'Juri 1'!J46),3)</f>
        <v>82.667</v>
      </c>
      <c r="J40" s="49">
        <f>round(AVERAGE('Juri 3'!K46,'Juri 2'!K46,'Juri 1'!K46),3)</f>
        <v>79.667</v>
      </c>
      <c r="K40" s="44">
        <v>80.0</v>
      </c>
      <c r="L40" s="44">
        <v>80.0</v>
      </c>
      <c r="M40" s="44">
        <v>80.0</v>
      </c>
      <c r="N40" s="44">
        <v>78.0</v>
      </c>
      <c r="O40" s="49">
        <f>round(AVERAGE(I40,'Juri 2'!I39),3)</f>
        <v>84.334</v>
      </c>
      <c r="P40" s="50">
        <v>87.0</v>
      </c>
      <c r="Q40" s="50">
        <v>70.0</v>
      </c>
      <c r="R40" s="50">
        <v>87.0</v>
      </c>
      <c r="S40" s="50">
        <v>82.0</v>
      </c>
      <c r="T40" s="50">
        <v>70.0</v>
      </c>
      <c r="U40" s="50">
        <v>87.0</v>
      </c>
      <c r="V40" s="43"/>
      <c r="W40" s="43"/>
      <c r="X40" s="43"/>
      <c r="Y40" s="43"/>
      <c r="Z40" s="43"/>
      <c r="AA40" s="43"/>
      <c r="AB40" s="43"/>
    </row>
    <row r="41">
      <c r="A41" s="43"/>
      <c r="B41" s="44">
        <v>38.0</v>
      </c>
      <c r="C41" s="12" t="s">
        <v>63</v>
      </c>
      <c r="D41" s="4" t="s">
        <v>23</v>
      </c>
      <c r="E41" s="44" t="s">
        <v>19</v>
      </c>
      <c r="F41" s="44">
        <v>2024.0</v>
      </c>
      <c r="G41" s="49">
        <f>round(AVERAGE('Juri 3'!H47,'Juri 2'!H47,'Juri 1'!H47),3)</f>
        <v>86.333</v>
      </c>
      <c r="H41" s="49">
        <f>round(AVERAGE('Juri 3'!I47,'Juri 2'!I47,'Juri 1'!I47),3)</f>
        <v>84.333</v>
      </c>
      <c r="I41" s="49">
        <f>round(AVERAGE('Juri 3'!J47,'Juri 2'!J47,'Juri 1'!J47),3)</f>
        <v>84.333</v>
      </c>
      <c r="J41" s="49">
        <f>round(AVERAGE('Juri 3'!K47,'Juri 2'!K47,'Juri 1'!K47),3)</f>
        <v>84.667</v>
      </c>
      <c r="K41" s="44">
        <v>80.0</v>
      </c>
      <c r="L41" s="44">
        <v>74.0</v>
      </c>
      <c r="M41" s="44">
        <v>85.0</v>
      </c>
      <c r="N41" s="44">
        <v>85.0</v>
      </c>
      <c r="O41" s="49">
        <f>round(AVERAGE(I41,'Juri 2'!I40),3)</f>
        <v>83.667</v>
      </c>
      <c r="P41" s="50">
        <v>87.0</v>
      </c>
      <c r="Q41" s="50">
        <v>80.0</v>
      </c>
      <c r="R41" s="50">
        <v>87.0</v>
      </c>
      <c r="S41" s="50">
        <v>88.0</v>
      </c>
      <c r="T41" s="50">
        <v>85.0</v>
      </c>
      <c r="U41" s="50">
        <v>90.0</v>
      </c>
      <c r="V41" s="43"/>
      <c r="W41" s="43"/>
      <c r="X41" s="43"/>
      <c r="Y41" s="43"/>
      <c r="Z41" s="43"/>
      <c r="AA41" s="43"/>
      <c r="AB41" s="43"/>
    </row>
    <row r="42">
      <c r="A42" s="43"/>
      <c r="B42" s="44">
        <v>39.0</v>
      </c>
      <c r="C42" s="12" t="s">
        <v>64</v>
      </c>
      <c r="D42" s="13" t="s">
        <v>18</v>
      </c>
      <c r="E42" s="44" t="s">
        <v>19</v>
      </c>
      <c r="F42" s="44">
        <v>2024.0</v>
      </c>
      <c r="G42" s="49">
        <f>round(AVERAGE('Juri 3'!H48,'Juri 2'!H48,'Juri 1'!H48),3)</f>
        <v>88.333</v>
      </c>
      <c r="H42" s="49">
        <f>round(AVERAGE('Juri 3'!I48,'Juri 2'!I48,'Juri 1'!I48),3)</f>
        <v>87.333</v>
      </c>
      <c r="I42" s="49">
        <f>round(AVERAGE('Juri 3'!J48,'Juri 2'!J48,'Juri 1'!J48),3)</f>
        <v>83.333</v>
      </c>
      <c r="J42" s="49">
        <f>round(AVERAGE('Juri 3'!K48,'Juri 2'!K48,'Juri 1'!K48),3)</f>
        <v>86.333</v>
      </c>
      <c r="K42" s="44">
        <v>83.0</v>
      </c>
      <c r="L42" s="44">
        <v>78.0</v>
      </c>
      <c r="M42" s="44">
        <v>85.0</v>
      </c>
      <c r="N42" s="44">
        <v>80.0</v>
      </c>
      <c r="O42" s="49">
        <f>round(AVERAGE(I42,'Juri 2'!I41),3)</f>
        <v>84.167</v>
      </c>
      <c r="P42" s="50">
        <v>88.0</v>
      </c>
      <c r="Q42" s="50">
        <v>90.0</v>
      </c>
      <c r="R42" s="50">
        <v>90.0</v>
      </c>
      <c r="S42" s="50">
        <v>85.0</v>
      </c>
      <c r="T42" s="50">
        <v>87.0</v>
      </c>
      <c r="U42" s="50">
        <v>90.0</v>
      </c>
      <c r="V42" s="43"/>
      <c r="W42" s="43"/>
      <c r="X42" s="43"/>
      <c r="Y42" s="43"/>
      <c r="Z42" s="43"/>
      <c r="AA42" s="43"/>
      <c r="AB42" s="43"/>
    </row>
    <row r="43">
      <c r="A43" s="43"/>
      <c r="B43" s="44">
        <v>40.0</v>
      </c>
      <c r="C43" s="12" t="s">
        <v>65</v>
      </c>
      <c r="D43" s="4" t="s">
        <v>23</v>
      </c>
      <c r="E43" s="44" t="s">
        <v>19</v>
      </c>
      <c r="F43" s="44">
        <v>2024.0</v>
      </c>
      <c r="G43" s="49">
        <f>round(AVERAGE('Juri 3'!H49,'Juri 2'!H49,'Juri 1'!H49),3)</f>
        <v>85.667</v>
      </c>
      <c r="H43" s="49">
        <f>round(AVERAGE('Juri 3'!I49,'Juri 2'!I49,'Juri 1'!I49),3)</f>
        <v>87</v>
      </c>
      <c r="I43" s="49">
        <f>round(AVERAGE('Juri 3'!J49,'Juri 2'!J49,'Juri 1'!J49),3)</f>
        <v>86</v>
      </c>
      <c r="J43" s="49">
        <f>round(AVERAGE('Juri 3'!K49,'Juri 2'!K49,'Juri 1'!K49),3)</f>
        <v>84.667</v>
      </c>
      <c r="K43" s="44">
        <v>85.0</v>
      </c>
      <c r="L43" s="44">
        <v>76.0</v>
      </c>
      <c r="M43" s="44">
        <v>85.0</v>
      </c>
      <c r="N43" s="44">
        <v>85.0</v>
      </c>
      <c r="O43" s="49">
        <f>round(AVERAGE(I43,'Juri 2'!I42),3)</f>
        <v>87</v>
      </c>
      <c r="P43" s="50">
        <v>87.0</v>
      </c>
      <c r="Q43" s="50">
        <v>90.0</v>
      </c>
      <c r="R43" s="50">
        <v>87.0</v>
      </c>
      <c r="S43" s="50">
        <v>86.0</v>
      </c>
      <c r="T43" s="50">
        <v>88.0</v>
      </c>
      <c r="U43" s="50">
        <v>90.0</v>
      </c>
      <c r="V43" s="43"/>
      <c r="W43" s="43"/>
      <c r="X43" s="43"/>
      <c r="Y43" s="43"/>
      <c r="Z43" s="43"/>
      <c r="AA43" s="43"/>
      <c r="AB43" s="43"/>
    </row>
    <row r="44">
      <c r="A44" s="43"/>
      <c r="B44" s="44">
        <v>41.0</v>
      </c>
      <c r="C44" s="12" t="s">
        <v>66</v>
      </c>
      <c r="D44" s="13" t="s">
        <v>18</v>
      </c>
      <c r="E44" s="44" t="s">
        <v>19</v>
      </c>
      <c r="F44" s="44">
        <v>2024.0</v>
      </c>
      <c r="G44" s="49">
        <f>round(AVERAGE('Juri 3'!H50,'Juri 2'!H50,'Juri 1'!H50),3)</f>
        <v>86.667</v>
      </c>
      <c r="H44" s="49">
        <f>round(AVERAGE('Juri 3'!I50,'Juri 2'!I50,'Juri 1'!I50),3)</f>
        <v>84.333</v>
      </c>
      <c r="I44" s="49">
        <f>round(AVERAGE('Juri 3'!J50,'Juri 2'!J50,'Juri 1'!J50),3)</f>
        <v>85.333</v>
      </c>
      <c r="J44" s="49">
        <f>round(AVERAGE('Juri 3'!K50,'Juri 2'!K50,'Juri 1'!K50),3)</f>
        <v>84.667</v>
      </c>
      <c r="K44" s="44">
        <v>80.0</v>
      </c>
      <c r="L44" s="44">
        <v>74.0</v>
      </c>
      <c r="M44" s="44">
        <v>85.0</v>
      </c>
      <c r="N44" s="44">
        <v>85.0</v>
      </c>
      <c r="O44" s="49">
        <f>round(AVERAGE(I44,'Juri 2'!I43),3)</f>
        <v>86.667</v>
      </c>
      <c r="P44" s="50">
        <v>87.0</v>
      </c>
      <c r="Q44" s="50">
        <v>70.0</v>
      </c>
      <c r="R44" s="50">
        <v>87.0</v>
      </c>
      <c r="S44" s="50">
        <v>88.0</v>
      </c>
      <c r="T44" s="50">
        <v>84.0</v>
      </c>
      <c r="U44" s="50">
        <v>90.0</v>
      </c>
      <c r="V44" s="43"/>
      <c r="W44" s="43"/>
      <c r="X44" s="43"/>
      <c r="Y44" s="43"/>
      <c r="Z44" s="43"/>
      <c r="AA44" s="43"/>
      <c r="AB44" s="43"/>
    </row>
    <row r="45">
      <c r="A45" s="43"/>
      <c r="B45" s="44">
        <v>42.0</v>
      </c>
      <c r="C45" s="12" t="s">
        <v>67</v>
      </c>
      <c r="D45" s="4" t="s">
        <v>23</v>
      </c>
      <c r="E45" s="44" t="s">
        <v>19</v>
      </c>
      <c r="F45" s="44">
        <v>2024.0</v>
      </c>
      <c r="G45" s="49">
        <f>round(AVERAGE('Juri 3'!H51,'Juri 2'!H51,'Juri 1'!H51),3)</f>
        <v>86</v>
      </c>
      <c r="H45" s="49">
        <f>round(AVERAGE('Juri 3'!I51,'Juri 2'!I51,'Juri 1'!I51),3)</f>
        <v>83.667</v>
      </c>
      <c r="I45" s="49">
        <f>round(AVERAGE('Juri 3'!J51,'Juri 2'!J51,'Juri 1'!J51),3)</f>
        <v>84.667</v>
      </c>
      <c r="J45" s="49">
        <f>round(AVERAGE('Juri 3'!K51,'Juri 2'!K51,'Juri 1'!K51),3)</f>
        <v>85.333</v>
      </c>
      <c r="K45" s="44">
        <v>80.0</v>
      </c>
      <c r="L45" s="44">
        <v>70.0</v>
      </c>
      <c r="M45" s="44">
        <v>90.0</v>
      </c>
      <c r="N45" s="44">
        <v>85.0</v>
      </c>
      <c r="O45" s="49">
        <f>round(AVERAGE(I45,'Juri 2'!I44),3)</f>
        <v>86.834</v>
      </c>
      <c r="P45" s="50">
        <v>85.0</v>
      </c>
      <c r="Q45" s="50">
        <v>70.0</v>
      </c>
      <c r="R45" s="50">
        <v>85.0</v>
      </c>
      <c r="S45" s="50">
        <v>85.0</v>
      </c>
      <c r="T45" s="50">
        <v>84.0</v>
      </c>
      <c r="U45" s="50">
        <v>90.0</v>
      </c>
      <c r="V45" s="43"/>
      <c r="W45" s="43"/>
      <c r="X45" s="43"/>
      <c r="Y45" s="43"/>
      <c r="Z45" s="43"/>
      <c r="AA45" s="43"/>
      <c r="AB45" s="43"/>
    </row>
    <row r="46">
      <c r="A46" s="43"/>
      <c r="B46" s="44">
        <v>43.0</v>
      </c>
      <c r="C46" s="12" t="s">
        <v>68</v>
      </c>
      <c r="D46" s="13" t="s">
        <v>18</v>
      </c>
      <c r="E46" s="44" t="s">
        <v>19</v>
      </c>
      <c r="F46" s="44">
        <v>2024.0</v>
      </c>
      <c r="G46" s="49">
        <f>round(AVERAGE('Juri 3'!H52,'Juri 2'!H52,'Juri 1'!H52),3)</f>
        <v>87.333</v>
      </c>
      <c r="H46" s="49">
        <f>round(AVERAGE('Juri 3'!I52,'Juri 2'!I52,'Juri 1'!I52),3)</f>
        <v>86</v>
      </c>
      <c r="I46" s="49">
        <f>round(AVERAGE('Juri 3'!J52,'Juri 2'!J52,'Juri 1'!J52),3)</f>
        <v>88.333</v>
      </c>
      <c r="J46" s="49">
        <f>round(AVERAGE('Juri 3'!K52,'Juri 2'!K52,'Juri 1'!K52),3)</f>
        <v>87.333</v>
      </c>
      <c r="K46" s="44">
        <v>85.0</v>
      </c>
      <c r="L46" s="44">
        <v>74.0</v>
      </c>
      <c r="M46" s="44">
        <v>83.0</v>
      </c>
      <c r="N46" s="44">
        <v>80.0</v>
      </c>
      <c r="O46" s="49">
        <f>round(AVERAGE(I46,'Juri 2'!I45),3)</f>
        <v>86.667</v>
      </c>
      <c r="P46" s="50">
        <v>88.0</v>
      </c>
      <c r="Q46" s="50">
        <v>70.0</v>
      </c>
      <c r="R46" s="50">
        <v>88.0</v>
      </c>
      <c r="S46" s="50">
        <v>88.0</v>
      </c>
      <c r="T46" s="50">
        <v>89.0</v>
      </c>
      <c r="U46" s="50">
        <v>90.0</v>
      </c>
      <c r="V46" s="43"/>
      <c r="W46" s="43"/>
      <c r="X46" s="43"/>
      <c r="Y46" s="43"/>
      <c r="Z46" s="43"/>
      <c r="AA46" s="43"/>
      <c r="AB46" s="43"/>
    </row>
    <row r="47">
      <c r="A47" s="43"/>
      <c r="B47" s="44">
        <v>44.0</v>
      </c>
      <c r="C47" s="12" t="s">
        <v>69</v>
      </c>
      <c r="D47" s="4" t="s">
        <v>23</v>
      </c>
      <c r="E47" s="44" t="s">
        <v>19</v>
      </c>
      <c r="F47" s="44">
        <v>2024.0</v>
      </c>
      <c r="G47" s="49">
        <f>round(AVERAGE('Juri 3'!H53,'Juri 2'!H53,'Juri 1'!H53),3)</f>
        <v>84</v>
      </c>
      <c r="H47" s="49">
        <f>round(AVERAGE('Juri 3'!I53,'Juri 2'!I53,'Juri 1'!I53),3)</f>
        <v>83.333</v>
      </c>
      <c r="I47" s="49">
        <f>round(AVERAGE('Juri 3'!J53,'Juri 2'!J53,'Juri 1'!J53),3)</f>
        <v>84.667</v>
      </c>
      <c r="J47" s="49">
        <f>round(AVERAGE('Juri 3'!K53,'Juri 2'!K53,'Juri 1'!K53),3)</f>
        <v>85.667</v>
      </c>
      <c r="K47" s="44">
        <v>80.0</v>
      </c>
      <c r="L47" s="44">
        <v>77.0</v>
      </c>
      <c r="M47" s="44">
        <v>84.0</v>
      </c>
      <c r="N47" s="44">
        <v>80.0</v>
      </c>
      <c r="O47" s="49">
        <f>round(AVERAGE(I47,'Juri 2'!I46),3)</f>
        <v>84.834</v>
      </c>
      <c r="P47" s="50">
        <v>87.0</v>
      </c>
      <c r="Q47" s="50">
        <v>70.0</v>
      </c>
      <c r="R47" s="50">
        <v>87.0</v>
      </c>
      <c r="S47" s="50">
        <v>84.0</v>
      </c>
      <c r="T47" s="50">
        <v>84.0</v>
      </c>
      <c r="U47" s="50">
        <v>89.0</v>
      </c>
      <c r="V47" s="43"/>
      <c r="W47" s="43"/>
      <c r="X47" s="43"/>
      <c r="Y47" s="43"/>
      <c r="Z47" s="43"/>
      <c r="AA47" s="43"/>
      <c r="AB47" s="43"/>
    </row>
    <row r="48">
      <c r="A48" s="43"/>
      <c r="B48" s="44">
        <v>45.0</v>
      </c>
      <c r="C48" s="12" t="s">
        <v>70</v>
      </c>
      <c r="D48" s="13" t="s">
        <v>18</v>
      </c>
      <c r="E48" s="44" t="s">
        <v>19</v>
      </c>
      <c r="F48" s="44">
        <v>2023.0</v>
      </c>
      <c r="G48" s="49">
        <f>round(AVERAGE('Juri 3'!H54,'Juri 2'!H54,'Juri 1'!H54),3)</f>
        <v>87.667</v>
      </c>
      <c r="H48" s="49">
        <f>round(AVERAGE('Juri 3'!I54,'Juri 2'!I54,'Juri 1'!I54),3)</f>
        <v>85.667</v>
      </c>
      <c r="I48" s="49">
        <f>round(AVERAGE('Juri 3'!J54,'Juri 2'!J54,'Juri 1'!J54),3)</f>
        <v>85.667</v>
      </c>
      <c r="J48" s="49">
        <f>round(AVERAGE('Juri 3'!K54,'Juri 2'!K54,'Juri 1'!K54),3)</f>
        <v>86.333</v>
      </c>
      <c r="K48" s="44">
        <v>85.0</v>
      </c>
      <c r="L48" s="44">
        <v>78.0</v>
      </c>
      <c r="M48" s="44">
        <v>75.0</v>
      </c>
      <c r="N48" s="44">
        <v>90.0</v>
      </c>
      <c r="O48" s="49">
        <f>round(AVERAGE(I48,'Juri 2'!I47),3)</f>
        <v>86.834</v>
      </c>
      <c r="P48" s="50">
        <v>89.0</v>
      </c>
      <c r="Q48" s="50">
        <v>70.0</v>
      </c>
      <c r="R48" s="50">
        <v>89.0</v>
      </c>
      <c r="S48" s="50">
        <v>90.0</v>
      </c>
      <c r="T48" s="50">
        <v>88.0</v>
      </c>
      <c r="U48" s="50">
        <v>90.0</v>
      </c>
      <c r="V48" s="43"/>
      <c r="W48" s="43"/>
      <c r="X48" s="43"/>
      <c r="Y48" s="43"/>
      <c r="Z48" s="43"/>
      <c r="AA48" s="43"/>
      <c r="AB48" s="43"/>
    </row>
    <row r="49">
      <c r="A49" s="43"/>
      <c r="B49" s="44">
        <v>46.0</v>
      </c>
      <c r="C49" s="12" t="s">
        <v>71</v>
      </c>
      <c r="D49" s="13" t="s">
        <v>23</v>
      </c>
      <c r="E49" s="44" t="s">
        <v>19</v>
      </c>
      <c r="F49" s="44">
        <v>2024.0</v>
      </c>
      <c r="G49" s="49">
        <f>round(AVERAGE('Juri 3'!H55,'Juri 2'!H55,'Juri 1'!H55),3)</f>
        <v>88.333</v>
      </c>
      <c r="H49" s="49">
        <f>round(AVERAGE('Juri 3'!I55,'Juri 2'!I55,'Juri 1'!I55),3)</f>
        <v>87.667</v>
      </c>
      <c r="I49" s="49">
        <f>round(AVERAGE('Juri 3'!J55,'Juri 2'!J55,'Juri 1'!J55),3)</f>
        <v>87</v>
      </c>
      <c r="J49" s="49">
        <f>round(AVERAGE('Juri 3'!K55,'Juri 2'!K55,'Juri 1'!K55),3)</f>
        <v>85.333</v>
      </c>
      <c r="K49" s="44">
        <v>82.0</v>
      </c>
      <c r="L49" s="44">
        <v>80.0</v>
      </c>
      <c r="M49" s="44">
        <v>87.0</v>
      </c>
      <c r="N49" s="44">
        <v>82.0</v>
      </c>
      <c r="O49" s="49">
        <f>round(AVERAGE(I49,'Juri 2'!I48),3)</f>
        <v>88.5</v>
      </c>
      <c r="P49" s="50">
        <v>88.0</v>
      </c>
      <c r="Q49" s="50">
        <v>70.0</v>
      </c>
      <c r="R49" s="50">
        <v>88.0</v>
      </c>
      <c r="S49" s="50">
        <v>83.0</v>
      </c>
      <c r="T49" s="50">
        <v>87.0</v>
      </c>
      <c r="U49" s="50">
        <v>90.0</v>
      </c>
      <c r="V49" s="43"/>
      <c r="W49" s="43"/>
      <c r="X49" s="43"/>
      <c r="Y49" s="43"/>
      <c r="Z49" s="43"/>
      <c r="AA49" s="43"/>
      <c r="AB49" s="43"/>
    </row>
    <row r="50">
      <c r="A50" s="43"/>
      <c r="B50" s="44">
        <v>47.0</v>
      </c>
      <c r="C50" s="12" t="s">
        <v>72</v>
      </c>
      <c r="D50" s="13" t="s">
        <v>18</v>
      </c>
      <c r="E50" s="44" t="s">
        <v>19</v>
      </c>
      <c r="F50" s="44">
        <v>2024.0</v>
      </c>
      <c r="G50" s="49">
        <f>round(AVERAGE('Juri 3'!H56,'Juri 2'!H56,'Juri 1'!H56),3)</f>
        <v>84.333</v>
      </c>
      <c r="H50" s="49">
        <f>round(AVERAGE('Juri 3'!I56,'Juri 2'!I56,'Juri 1'!I56),3)</f>
        <v>86</v>
      </c>
      <c r="I50" s="49">
        <f>round(AVERAGE('Juri 3'!J56,'Juri 2'!J56,'Juri 1'!J56),3)</f>
        <v>85.667</v>
      </c>
      <c r="J50" s="49">
        <f>round(AVERAGE('Juri 3'!K56,'Juri 2'!K56,'Juri 1'!K56),3)</f>
        <v>86.333</v>
      </c>
      <c r="K50" s="44">
        <v>80.0</v>
      </c>
      <c r="L50" s="44">
        <v>77.0</v>
      </c>
      <c r="M50" s="44">
        <v>84.0</v>
      </c>
      <c r="N50" s="44">
        <v>85.0</v>
      </c>
      <c r="O50" s="49">
        <f>round(AVERAGE(I50,'Juri 2'!I49),3)</f>
        <v>86.334</v>
      </c>
      <c r="P50" s="50">
        <v>88.0</v>
      </c>
      <c r="Q50" s="50">
        <v>70.0</v>
      </c>
      <c r="R50" s="50">
        <v>88.0</v>
      </c>
      <c r="S50" s="50">
        <v>88.0</v>
      </c>
      <c r="T50" s="50">
        <v>87.0</v>
      </c>
      <c r="U50" s="50">
        <v>90.0</v>
      </c>
      <c r="V50" s="43"/>
      <c r="W50" s="43"/>
      <c r="X50" s="43"/>
      <c r="Y50" s="43"/>
      <c r="Z50" s="43"/>
      <c r="AA50" s="43"/>
      <c r="AB50" s="43"/>
    </row>
    <row r="51">
      <c r="A51" s="43"/>
      <c r="B51" s="44">
        <v>48.0</v>
      </c>
      <c r="C51" s="12" t="s">
        <v>73</v>
      </c>
      <c r="D51" s="4" t="s">
        <v>23</v>
      </c>
      <c r="E51" s="44" t="s">
        <v>19</v>
      </c>
      <c r="F51" s="44">
        <v>2023.0</v>
      </c>
      <c r="G51" s="49">
        <f>round(AVERAGE('Juri 3'!H57,'Juri 2'!H57,'Juri 1'!H57),3)</f>
        <v>86.667</v>
      </c>
      <c r="H51" s="49">
        <f>round(AVERAGE('Juri 3'!I57,'Juri 2'!I57,'Juri 1'!I57),3)</f>
        <v>87.333</v>
      </c>
      <c r="I51" s="49">
        <f>round(AVERAGE('Juri 3'!J57,'Juri 2'!J57,'Juri 1'!J57),3)</f>
        <v>87</v>
      </c>
      <c r="J51" s="49">
        <f>round(AVERAGE('Juri 3'!K57,'Juri 2'!K57,'Juri 1'!K57),3)</f>
        <v>87.667</v>
      </c>
      <c r="K51" s="44">
        <v>82.0</v>
      </c>
      <c r="L51" s="44">
        <v>80.0</v>
      </c>
      <c r="M51" s="44">
        <v>85.0</v>
      </c>
      <c r="N51" s="44">
        <v>80.0</v>
      </c>
      <c r="O51" s="49">
        <f>round(AVERAGE(I51,'Juri 2'!I50),3)</f>
        <v>87</v>
      </c>
      <c r="P51" s="50">
        <v>88.0</v>
      </c>
      <c r="Q51" s="50">
        <v>90.0</v>
      </c>
      <c r="R51" s="50">
        <v>88.0</v>
      </c>
      <c r="S51" s="50">
        <v>90.0</v>
      </c>
      <c r="T51" s="50">
        <v>89.0</v>
      </c>
      <c r="U51" s="50">
        <v>90.0</v>
      </c>
      <c r="V51" s="43"/>
      <c r="W51" s="43"/>
      <c r="X51" s="43"/>
      <c r="Y51" s="43"/>
      <c r="Z51" s="43"/>
      <c r="AA51" s="43"/>
      <c r="AB51" s="43"/>
    </row>
    <row r="52">
      <c r="A52" s="43"/>
      <c r="B52" s="44">
        <v>49.0</v>
      </c>
      <c r="C52" s="12" t="s">
        <v>74</v>
      </c>
      <c r="D52" s="13" t="s">
        <v>18</v>
      </c>
      <c r="E52" s="44" t="s">
        <v>19</v>
      </c>
      <c r="F52" s="44">
        <v>2023.0</v>
      </c>
      <c r="G52" s="49">
        <f>round(AVERAGE('Juri 3'!H58,'Juri 2'!H58,'Juri 1'!H58),3)</f>
        <v>86.667</v>
      </c>
      <c r="H52" s="49">
        <f>round(AVERAGE('Juri 3'!I58,'Juri 2'!I58,'Juri 1'!I58),3)</f>
        <v>84</v>
      </c>
      <c r="I52" s="49">
        <f>round(AVERAGE('Juri 3'!J58,'Juri 2'!J58,'Juri 1'!J58),3)</f>
        <v>84</v>
      </c>
      <c r="J52" s="49">
        <f>round(AVERAGE('Juri 3'!K58,'Juri 2'!K58,'Juri 1'!K58),3)</f>
        <v>83</v>
      </c>
      <c r="K52" s="44">
        <v>85.0</v>
      </c>
      <c r="L52" s="44">
        <v>78.0</v>
      </c>
      <c r="M52" s="44">
        <v>75.0</v>
      </c>
      <c r="N52" s="44">
        <v>90.0</v>
      </c>
      <c r="O52" s="49">
        <f>round(AVERAGE(I52,'Juri 2'!I51),3)</f>
        <v>84.5</v>
      </c>
      <c r="P52" s="50">
        <v>86.0</v>
      </c>
      <c r="Q52" s="50">
        <v>70.0</v>
      </c>
      <c r="R52" s="50">
        <v>86.0</v>
      </c>
      <c r="S52" s="50">
        <v>85.0</v>
      </c>
      <c r="T52" s="50">
        <v>89.0</v>
      </c>
      <c r="U52" s="50">
        <v>90.0</v>
      </c>
      <c r="V52" s="43"/>
      <c r="W52" s="43"/>
      <c r="X52" s="43"/>
      <c r="Y52" s="43"/>
      <c r="Z52" s="43"/>
      <c r="AA52" s="43"/>
      <c r="AB52" s="43"/>
    </row>
    <row r="53">
      <c r="A53" s="43"/>
      <c r="B53" s="52" t="s">
        <v>88</v>
      </c>
      <c r="C53" s="29"/>
      <c r="D53" s="29"/>
      <c r="E53" s="29"/>
      <c r="F53" s="30"/>
      <c r="G53" s="44">
        <f t="shared" ref="G53:U53" si="2">sum(G4:G52)</f>
        <v>4168.335</v>
      </c>
      <c r="H53" s="44">
        <f t="shared" si="2"/>
        <v>4144.335</v>
      </c>
      <c r="I53" s="44">
        <f t="shared" si="2"/>
        <v>4177.001</v>
      </c>
      <c r="J53" s="44">
        <f t="shared" si="2"/>
        <v>4152.003</v>
      </c>
      <c r="K53" s="44">
        <f t="shared" si="2"/>
        <v>3963</v>
      </c>
      <c r="L53" s="44">
        <f t="shared" si="2"/>
        <v>3699</v>
      </c>
      <c r="M53" s="44">
        <f t="shared" si="2"/>
        <v>4103</v>
      </c>
      <c r="N53" s="44">
        <f t="shared" si="2"/>
        <v>4049</v>
      </c>
      <c r="O53" s="44">
        <f t="shared" si="2"/>
        <v>4195.68</v>
      </c>
      <c r="P53" s="44">
        <f t="shared" si="2"/>
        <v>4243</v>
      </c>
      <c r="Q53" s="44">
        <f t="shared" si="2"/>
        <v>3640</v>
      </c>
      <c r="R53" s="44">
        <f t="shared" si="2"/>
        <v>4232</v>
      </c>
      <c r="S53" s="44">
        <f t="shared" si="2"/>
        <v>4182</v>
      </c>
      <c r="T53" s="44">
        <f t="shared" si="2"/>
        <v>4174</v>
      </c>
      <c r="U53" s="44">
        <f t="shared" si="2"/>
        <v>4364</v>
      </c>
      <c r="V53" s="43"/>
      <c r="W53" s="43"/>
      <c r="X53" s="43"/>
      <c r="Y53" s="43"/>
      <c r="Z53" s="43"/>
      <c r="AA53" s="43"/>
      <c r="AB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>
      <c r="A55" s="43"/>
      <c r="B55" s="53" t="s">
        <v>89</v>
      </c>
      <c r="C55" s="53" t="s">
        <v>90</v>
      </c>
      <c r="D55" s="53" t="s">
        <v>91</v>
      </c>
      <c r="E55" s="53" t="s">
        <v>92</v>
      </c>
      <c r="F55" s="53" t="s">
        <v>93</v>
      </c>
      <c r="G55" s="53" t="s">
        <v>94</v>
      </c>
      <c r="H55" s="53" t="s">
        <v>95</v>
      </c>
      <c r="I55" s="53" t="s">
        <v>96</v>
      </c>
      <c r="J55" s="53" t="s">
        <v>97</v>
      </c>
      <c r="K55" s="53" t="s">
        <v>98</v>
      </c>
      <c r="L55" s="53" t="s">
        <v>99</v>
      </c>
      <c r="M55" s="53" t="s">
        <v>100</v>
      </c>
      <c r="N55" s="53" t="s">
        <v>101</v>
      </c>
      <c r="O55" s="53" t="s">
        <v>102</v>
      </c>
      <c r="P55" s="53" t="s">
        <v>103</v>
      </c>
      <c r="Q55" s="53" t="s">
        <v>104</v>
      </c>
      <c r="R55" s="53" t="s">
        <v>105</v>
      </c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>
      <c r="A56" s="43"/>
      <c r="B56" s="54" t="s">
        <v>106</v>
      </c>
      <c r="C56" s="54">
        <v>8.0</v>
      </c>
      <c r="D56" s="54">
        <v>8.0</v>
      </c>
      <c r="E56" s="54">
        <v>7.0</v>
      </c>
      <c r="F56" s="54">
        <v>8.0</v>
      </c>
      <c r="G56" s="54">
        <v>7.0</v>
      </c>
      <c r="H56" s="54">
        <v>5.0</v>
      </c>
      <c r="I56" s="54">
        <v>5.0</v>
      </c>
      <c r="J56" s="54">
        <v>5.0</v>
      </c>
      <c r="K56" s="54">
        <v>8.0</v>
      </c>
      <c r="L56" s="54">
        <v>10.0</v>
      </c>
      <c r="M56" s="54">
        <v>8.0</v>
      </c>
      <c r="N56" s="54">
        <v>5.0</v>
      </c>
      <c r="O56" s="54">
        <v>5.0</v>
      </c>
      <c r="P56" s="54">
        <v>4.0</v>
      </c>
      <c r="Q56" s="54">
        <v>4.0</v>
      </c>
      <c r="R56" s="54">
        <v>3.0</v>
      </c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>
      <c r="A57" s="43"/>
      <c r="B57" s="54" t="s">
        <v>107</v>
      </c>
      <c r="C57" s="54">
        <v>0.08</v>
      </c>
      <c r="D57" s="54">
        <v>0.08</v>
      </c>
      <c r="E57" s="54">
        <v>0.07</v>
      </c>
      <c r="F57" s="54">
        <v>0.08</v>
      </c>
      <c r="G57" s="54">
        <v>0.07</v>
      </c>
      <c r="H57" s="54">
        <v>0.05</v>
      </c>
      <c r="I57" s="54">
        <v>0.05</v>
      </c>
      <c r="J57" s="54">
        <v>0.05</v>
      </c>
      <c r="K57" s="54">
        <v>0.08</v>
      </c>
      <c r="L57" s="54">
        <v>0.1</v>
      </c>
      <c r="M57" s="54">
        <v>0.08</v>
      </c>
      <c r="N57" s="54">
        <v>0.05</v>
      </c>
      <c r="O57" s="54">
        <v>0.05</v>
      </c>
      <c r="P57" s="54">
        <v>0.04</v>
      </c>
      <c r="Q57" s="54">
        <v>0.04</v>
      </c>
      <c r="R57" s="54">
        <v>0.03</v>
      </c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>
      <c r="A59" s="43"/>
      <c r="B59" s="44" t="s">
        <v>2</v>
      </c>
      <c r="C59" s="45" t="s">
        <v>3</v>
      </c>
      <c r="D59" s="46" t="s">
        <v>4</v>
      </c>
      <c r="E59" s="46" t="s">
        <v>5</v>
      </c>
      <c r="F59" s="46" t="s">
        <v>6</v>
      </c>
      <c r="G59" s="46" t="s">
        <v>7</v>
      </c>
      <c r="H59" s="46" t="s">
        <v>8</v>
      </c>
      <c r="I59" s="46" t="s">
        <v>9</v>
      </c>
      <c r="J59" s="46" t="s">
        <v>10</v>
      </c>
      <c r="K59" s="47" t="s">
        <v>11</v>
      </c>
      <c r="L59" s="47" t="s">
        <v>12</v>
      </c>
      <c r="M59" s="47" t="s">
        <v>13</v>
      </c>
      <c r="N59" s="47" t="s">
        <v>14</v>
      </c>
      <c r="O59" s="47" t="s">
        <v>78</v>
      </c>
      <c r="P59" s="47" t="s">
        <v>79</v>
      </c>
      <c r="Q59" s="47" t="s">
        <v>80</v>
      </c>
      <c r="R59" s="47" t="s">
        <v>81</v>
      </c>
      <c r="S59" s="47" t="s">
        <v>78</v>
      </c>
      <c r="T59" s="47" t="s">
        <v>83</v>
      </c>
      <c r="U59" s="47" t="s">
        <v>84</v>
      </c>
      <c r="V59" s="43"/>
      <c r="W59" s="43"/>
      <c r="X59" s="43"/>
      <c r="Y59" s="43"/>
      <c r="Z59" s="43"/>
      <c r="AA59" s="43"/>
      <c r="AB59" s="43"/>
    </row>
    <row r="60">
      <c r="A60" s="43"/>
      <c r="B60" s="44"/>
      <c r="C60" s="48" t="s">
        <v>86</v>
      </c>
      <c r="D60" s="48" t="s">
        <v>87</v>
      </c>
      <c r="E60" s="48" t="s">
        <v>87</v>
      </c>
      <c r="F60" s="48">
        <v>2024.0</v>
      </c>
      <c r="G60" s="49">
        <f t="shared" ref="G60:G109" si="3">round(G3/$G$53,3)</f>
        <v>0.022</v>
      </c>
      <c r="H60" s="49">
        <f t="shared" ref="H60:H109" si="4">round(H3/$H$53,3)</f>
        <v>0.021</v>
      </c>
      <c r="I60" s="49">
        <f t="shared" ref="I60:I109" si="5">round(I3/$I$53,3)</f>
        <v>0.021</v>
      </c>
      <c r="J60" s="49">
        <f t="shared" ref="J60:J109" si="6">round(J3/$J$53,3)</f>
        <v>0.021</v>
      </c>
      <c r="K60" s="44">
        <f t="shared" ref="K60:K109" si="7">round(K3/$K$53,3)</f>
        <v>0.023</v>
      </c>
      <c r="L60" s="44">
        <f t="shared" ref="L60:L109" si="8">round(L3/$L$53,3)</f>
        <v>0.022</v>
      </c>
      <c r="M60" s="44">
        <f t="shared" ref="M60:M109" si="9">round(M3/$M$53,3)</f>
        <v>0.022</v>
      </c>
      <c r="N60" s="44">
        <f t="shared" ref="N60:N109" si="10">round(N3/$N$53,3)</f>
        <v>0.022</v>
      </c>
      <c r="O60" s="44">
        <f t="shared" ref="O60:O109" si="11">round(O3/$O$53,3)</f>
        <v>0.021</v>
      </c>
      <c r="P60" s="44">
        <f t="shared" ref="P60:P109" si="12">round(P3/$P$53,3)</f>
        <v>0.021</v>
      </c>
      <c r="Q60" s="44">
        <f t="shared" ref="Q60:Q109" si="13">round(Q3/$Q$53,3)</f>
        <v>0.025</v>
      </c>
      <c r="R60" s="44">
        <f t="shared" ref="R60:R109" si="14">round(R3/$R$53,3)</f>
        <v>0.021</v>
      </c>
      <c r="S60" s="44">
        <f t="shared" ref="S60:S109" si="15">round(S3/$S$53,3)</f>
        <v>0.022</v>
      </c>
      <c r="T60" s="44">
        <f t="shared" ref="T60:T109" si="16">round(T3/$T$53,3)</f>
        <v>0.022</v>
      </c>
      <c r="U60" s="44">
        <f t="shared" ref="U60:U109" si="17">round(U3/$U$53,3)</f>
        <v>0.021</v>
      </c>
      <c r="V60" s="43"/>
      <c r="W60" s="43"/>
      <c r="X60" s="43"/>
      <c r="Y60" s="43"/>
      <c r="Z60" s="43"/>
      <c r="AA60" s="43"/>
      <c r="AB60" s="43"/>
    </row>
    <row r="61">
      <c r="A61" s="43"/>
      <c r="B61" s="44">
        <v>1.0</v>
      </c>
      <c r="C61" s="12" t="s">
        <v>17</v>
      </c>
      <c r="D61" s="13" t="s">
        <v>18</v>
      </c>
      <c r="E61" s="44" t="s">
        <v>19</v>
      </c>
      <c r="F61" s="44">
        <v>2024.0</v>
      </c>
      <c r="G61" s="49">
        <f t="shared" si="3"/>
        <v>0.02</v>
      </c>
      <c r="H61" s="49">
        <f t="shared" si="4"/>
        <v>0.021</v>
      </c>
      <c r="I61" s="49">
        <f t="shared" si="5"/>
        <v>0.02</v>
      </c>
      <c r="J61" s="49">
        <f t="shared" si="6"/>
        <v>0.02</v>
      </c>
      <c r="K61" s="44">
        <f t="shared" si="7"/>
        <v>0.02</v>
      </c>
      <c r="L61" s="44">
        <f t="shared" si="8"/>
        <v>0.02</v>
      </c>
      <c r="M61" s="44">
        <f t="shared" si="9"/>
        <v>0.019</v>
      </c>
      <c r="N61" s="44">
        <f t="shared" si="10"/>
        <v>0.022</v>
      </c>
      <c r="O61" s="44">
        <f t="shared" si="11"/>
        <v>0.02</v>
      </c>
      <c r="P61" s="44">
        <f t="shared" si="12"/>
        <v>0.02</v>
      </c>
      <c r="Q61" s="44">
        <f t="shared" si="13"/>
        <v>0.019</v>
      </c>
      <c r="R61" s="44">
        <f t="shared" si="14"/>
        <v>0.02</v>
      </c>
      <c r="S61" s="44">
        <f t="shared" si="15"/>
        <v>0.021</v>
      </c>
      <c r="T61" s="44">
        <f t="shared" si="16"/>
        <v>0.021</v>
      </c>
      <c r="U61" s="44">
        <f t="shared" si="17"/>
        <v>0.021</v>
      </c>
      <c r="V61" s="43"/>
      <c r="W61" s="43"/>
      <c r="X61" s="43"/>
      <c r="Y61" s="43"/>
      <c r="Z61" s="43"/>
      <c r="AA61" s="43"/>
      <c r="AB61" s="43"/>
    </row>
    <row r="62">
      <c r="A62" s="43"/>
      <c r="B62" s="44">
        <v>2.0</v>
      </c>
      <c r="C62" s="12" t="s">
        <v>20</v>
      </c>
      <c r="D62" s="4" t="s">
        <v>18</v>
      </c>
      <c r="E62" s="44" t="s">
        <v>21</v>
      </c>
      <c r="F62" s="44">
        <v>2024.0</v>
      </c>
      <c r="G62" s="49">
        <f t="shared" si="3"/>
        <v>0.019</v>
      </c>
      <c r="H62" s="49">
        <f t="shared" si="4"/>
        <v>0.019</v>
      </c>
      <c r="I62" s="49">
        <f t="shared" si="5"/>
        <v>0.019</v>
      </c>
      <c r="J62" s="49">
        <f t="shared" si="6"/>
        <v>0.02</v>
      </c>
      <c r="K62" s="44">
        <f t="shared" si="7"/>
        <v>0.02</v>
      </c>
      <c r="L62" s="44">
        <f t="shared" si="8"/>
        <v>0.022</v>
      </c>
      <c r="M62" s="44">
        <f t="shared" si="9"/>
        <v>0.019</v>
      </c>
      <c r="N62" s="44">
        <f t="shared" si="10"/>
        <v>0.02</v>
      </c>
      <c r="O62" s="44">
        <f t="shared" si="11"/>
        <v>0.019</v>
      </c>
      <c r="P62" s="44">
        <f t="shared" si="12"/>
        <v>0.02</v>
      </c>
      <c r="Q62" s="44">
        <f t="shared" si="13"/>
        <v>0.019</v>
      </c>
      <c r="R62" s="44">
        <f t="shared" si="14"/>
        <v>0.02</v>
      </c>
      <c r="S62" s="44">
        <f t="shared" si="15"/>
        <v>0.019</v>
      </c>
      <c r="T62" s="44">
        <f t="shared" si="16"/>
        <v>0.019</v>
      </c>
      <c r="U62" s="44">
        <f t="shared" si="17"/>
        <v>0.018</v>
      </c>
      <c r="V62" s="43"/>
      <c r="W62" s="43"/>
      <c r="X62" s="43"/>
      <c r="Y62" s="43"/>
      <c r="Z62" s="43"/>
      <c r="AA62" s="43"/>
      <c r="AB62" s="43"/>
    </row>
    <row r="63">
      <c r="A63" s="43"/>
      <c r="B63" s="44">
        <v>3.0</v>
      </c>
      <c r="C63" s="12" t="s">
        <v>22</v>
      </c>
      <c r="D63" s="4" t="s">
        <v>23</v>
      </c>
      <c r="E63" s="44" t="s">
        <v>24</v>
      </c>
      <c r="F63" s="44">
        <v>2023.0</v>
      </c>
      <c r="G63" s="49">
        <f t="shared" si="3"/>
        <v>0.021</v>
      </c>
      <c r="H63" s="49">
        <f t="shared" si="4"/>
        <v>0.021</v>
      </c>
      <c r="I63" s="49">
        <f t="shared" si="5"/>
        <v>0.021</v>
      </c>
      <c r="J63" s="49">
        <f t="shared" si="6"/>
        <v>0.021</v>
      </c>
      <c r="K63" s="44">
        <f t="shared" si="7"/>
        <v>0.021</v>
      </c>
      <c r="L63" s="44">
        <f t="shared" si="8"/>
        <v>0.022</v>
      </c>
      <c r="M63" s="44">
        <f t="shared" si="9"/>
        <v>0.021</v>
      </c>
      <c r="N63" s="44">
        <f t="shared" si="10"/>
        <v>0.02</v>
      </c>
      <c r="O63" s="44">
        <f t="shared" si="11"/>
        <v>0.021</v>
      </c>
      <c r="P63" s="44">
        <f t="shared" si="12"/>
        <v>0.021</v>
      </c>
      <c r="Q63" s="44">
        <f t="shared" si="13"/>
        <v>0.025</v>
      </c>
      <c r="R63" s="44">
        <f t="shared" si="14"/>
        <v>0.021</v>
      </c>
      <c r="S63" s="44">
        <f t="shared" si="15"/>
        <v>0.022</v>
      </c>
      <c r="T63" s="44">
        <f t="shared" si="16"/>
        <v>0.02</v>
      </c>
      <c r="U63" s="44">
        <f t="shared" si="17"/>
        <v>0.02</v>
      </c>
      <c r="V63" s="43"/>
      <c r="W63" s="43"/>
      <c r="X63" s="43"/>
      <c r="Y63" s="43"/>
      <c r="Z63" s="43"/>
      <c r="AA63" s="43"/>
      <c r="AB63" s="43"/>
    </row>
    <row r="64">
      <c r="A64" s="43"/>
      <c r="B64" s="44">
        <v>4.0</v>
      </c>
      <c r="C64" s="12" t="s">
        <v>25</v>
      </c>
      <c r="D64" s="4" t="s">
        <v>23</v>
      </c>
      <c r="E64" s="44" t="s">
        <v>26</v>
      </c>
      <c r="F64" s="44">
        <v>2024.0</v>
      </c>
      <c r="G64" s="49">
        <f t="shared" si="3"/>
        <v>0.021</v>
      </c>
      <c r="H64" s="49">
        <f t="shared" si="4"/>
        <v>0.021</v>
      </c>
      <c r="I64" s="49">
        <f t="shared" si="5"/>
        <v>0.02</v>
      </c>
      <c r="J64" s="49">
        <f t="shared" si="6"/>
        <v>0.021</v>
      </c>
      <c r="K64" s="44">
        <f t="shared" si="7"/>
        <v>0.019</v>
      </c>
      <c r="L64" s="44">
        <f t="shared" si="8"/>
        <v>0.021</v>
      </c>
      <c r="M64" s="44">
        <f t="shared" si="9"/>
        <v>0.021</v>
      </c>
      <c r="N64" s="44">
        <f t="shared" si="10"/>
        <v>0.02</v>
      </c>
      <c r="O64" s="44">
        <f t="shared" si="11"/>
        <v>0.02</v>
      </c>
      <c r="P64" s="44">
        <f t="shared" si="12"/>
        <v>0.021</v>
      </c>
      <c r="Q64" s="44">
        <f t="shared" si="13"/>
        <v>0.019</v>
      </c>
      <c r="R64" s="44">
        <f t="shared" si="14"/>
        <v>0.02</v>
      </c>
      <c r="S64" s="44">
        <f t="shared" si="15"/>
        <v>0.021</v>
      </c>
      <c r="T64" s="44">
        <f t="shared" si="16"/>
        <v>0.02</v>
      </c>
      <c r="U64" s="44">
        <f t="shared" si="17"/>
        <v>0.019</v>
      </c>
      <c r="V64" s="43"/>
      <c r="W64" s="43"/>
      <c r="X64" s="43"/>
      <c r="Y64" s="43"/>
      <c r="Z64" s="43"/>
      <c r="AA64" s="43"/>
      <c r="AB64" s="43"/>
    </row>
    <row r="65">
      <c r="A65" s="43"/>
      <c r="B65" s="44">
        <v>5.0</v>
      </c>
      <c r="C65" s="12" t="s">
        <v>27</v>
      </c>
      <c r="D65" s="13" t="s">
        <v>18</v>
      </c>
      <c r="E65" s="44" t="s">
        <v>24</v>
      </c>
      <c r="F65" s="44">
        <v>2024.0</v>
      </c>
      <c r="G65" s="49">
        <f t="shared" si="3"/>
        <v>0.02</v>
      </c>
      <c r="H65" s="49">
        <f t="shared" si="4"/>
        <v>0.021</v>
      </c>
      <c r="I65" s="49">
        <f t="shared" si="5"/>
        <v>0.021</v>
      </c>
      <c r="J65" s="49">
        <f t="shared" si="6"/>
        <v>0.02</v>
      </c>
      <c r="K65" s="44">
        <f t="shared" si="7"/>
        <v>0.02</v>
      </c>
      <c r="L65" s="44">
        <f t="shared" si="8"/>
        <v>0.019</v>
      </c>
      <c r="M65" s="44">
        <f t="shared" si="9"/>
        <v>0.019</v>
      </c>
      <c r="N65" s="44">
        <f t="shared" si="10"/>
        <v>0.02</v>
      </c>
      <c r="O65" s="44">
        <f t="shared" si="11"/>
        <v>0.02</v>
      </c>
      <c r="P65" s="44">
        <f t="shared" si="12"/>
        <v>0.021</v>
      </c>
      <c r="Q65" s="44">
        <f t="shared" si="13"/>
        <v>0.019</v>
      </c>
      <c r="R65" s="44">
        <f t="shared" si="14"/>
        <v>0.021</v>
      </c>
      <c r="S65" s="44">
        <f t="shared" si="15"/>
        <v>0.02</v>
      </c>
      <c r="T65" s="44">
        <f t="shared" si="16"/>
        <v>0.02</v>
      </c>
      <c r="U65" s="44">
        <f t="shared" si="17"/>
        <v>0.02</v>
      </c>
      <c r="V65" s="43"/>
      <c r="W65" s="43"/>
      <c r="X65" s="43"/>
      <c r="Y65" s="43"/>
      <c r="Z65" s="43"/>
      <c r="AA65" s="43"/>
      <c r="AB65" s="43"/>
    </row>
    <row r="66">
      <c r="A66" s="43"/>
      <c r="B66" s="44">
        <v>6.0</v>
      </c>
      <c r="C66" s="12" t="s">
        <v>28</v>
      </c>
      <c r="D66" s="4" t="s">
        <v>18</v>
      </c>
      <c r="E66" s="44" t="s">
        <v>29</v>
      </c>
      <c r="F66" s="44">
        <v>2023.0</v>
      </c>
      <c r="G66" s="49">
        <f t="shared" si="3"/>
        <v>0.021</v>
      </c>
      <c r="H66" s="49">
        <f t="shared" si="4"/>
        <v>0.021</v>
      </c>
      <c r="I66" s="49">
        <f t="shared" si="5"/>
        <v>0.021</v>
      </c>
      <c r="J66" s="49">
        <f t="shared" si="6"/>
        <v>0.021</v>
      </c>
      <c r="K66" s="44">
        <f t="shared" si="7"/>
        <v>0.021</v>
      </c>
      <c r="L66" s="44">
        <f t="shared" si="8"/>
        <v>0.022</v>
      </c>
      <c r="M66" s="44">
        <f t="shared" si="9"/>
        <v>0.021</v>
      </c>
      <c r="N66" s="44">
        <f t="shared" si="10"/>
        <v>0.02</v>
      </c>
      <c r="O66" s="44">
        <f t="shared" si="11"/>
        <v>0.021</v>
      </c>
      <c r="P66" s="44">
        <f t="shared" si="12"/>
        <v>0.021</v>
      </c>
      <c r="Q66" s="44">
        <f t="shared" si="13"/>
        <v>0.019</v>
      </c>
      <c r="R66" s="44">
        <f t="shared" si="14"/>
        <v>0.021</v>
      </c>
      <c r="S66" s="44">
        <f t="shared" si="15"/>
        <v>0.021</v>
      </c>
      <c r="T66" s="44">
        <f t="shared" si="16"/>
        <v>0.021</v>
      </c>
      <c r="U66" s="44">
        <f t="shared" si="17"/>
        <v>0.021</v>
      </c>
      <c r="V66" s="43"/>
      <c r="W66" s="43"/>
      <c r="X66" s="43"/>
      <c r="Y66" s="43"/>
      <c r="Z66" s="43"/>
      <c r="AA66" s="43"/>
      <c r="AB66" s="43"/>
    </row>
    <row r="67">
      <c r="A67" s="43"/>
      <c r="B67" s="44">
        <v>7.0</v>
      </c>
      <c r="C67" s="12" t="s">
        <v>30</v>
      </c>
      <c r="D67" s="4" t="s">
        <v>23</v>
      </c>
      <c r="E67" s="44" t="s">
        <v>31</v>
      </c>
      <c r="F67" s="44">
        <v>2024.0</v>
      </c>
      <c r="G67" s="49">
        <f t="shared" si="3"/>
        <v>0.021</v>
      </c>
      <c r="H67" s="49">
        <f t="shared" si="4"/>
        <v>0.021</v>
      </c>
      <c r="I67" s="49">
        <f t="shared" si="5"/>
        <v>0.021</v>
      </c>
      <c r="J67" s="49">
        <f t="shared" si="6"/>
        <v>0.021</v>
      </c>
      <c r="K67" s="44">
        <f t="shared" si="7"/>
        <v>0.019</v>
      </c>
      <c r="L67" s="44">
        <f t="shared" si="8"/>
        <v>0.021</v>
      </c>
      <c r="M67" s="44">
        <f t="shared" si="9"/>
        <v>0.019</v>
      </c>
      <c r="N67" s="44">
        <f t="shared" si="10"/>
        <v>0.02</v>
      </c>
      <c r="O67" s="44">
        <f t="shared" si="11"/>
        <v>0.021</v>
      </c>
      <c r="P67" s="44">
        <f t="shared" si="12"/>
        <v>0.021</v>
      </c>
      <c r="Q67" s="44">
        <f t="shared" si="13"/>
        <v>0.022</v>
      </c>
      <c r="R67" s="44">
        <f t="shared" si="14"/>
        <v>0.021</v>
      </c>
      <c r="S67" s="44">
        <f t="shared" si="15"/>
        <v>0.022</v>
      </c>
      <c r="T67" s="44">
        <f t="shared" si="16"/>
        <v>0.021</v>
      </c>
      <c r="U67" s="44">
        <f t="shared" si="17"/>
        <v>0.021</v>
      </c>
      <c r="V67" s="43"/>
      <c r="W67" s="43"/>
      <c r="X67" s="43"/>
      <c r="Y67" s="43"/>
      <c r="Z67" s="43"/>
      <c r="AA67" s="43"/>
      <c r="AB67" s="43"/>
    </row>
    <row r="68">
      <c r="A68" s="43"/>
      <c r="B68" s="44">
        <v>8.0</v>
      </c>
      <c r="C68" s="12" t="s">
        <v>32</v>
      </c>
      <c r="D68" s="13" t="s">
        <v>18</v>
      </c>
      <c r="E68" s="44" t="s">
        <v>24</v>
      </c>
      <c r="F68" s="44">
        <v>2024.0</v>
      </c>
      <c r="G68" s="49">
        <f t="shared" si="3"/>
        <v>0.019</v>
      </c>
      <c r="H68" s="49">
        <f t="shared" si="4"/>
        <v>0.02</v>
      </c>
      <c r="I68" s="49">
        <f t="shared" si="5"/>
        <v>0.02</v>
      </c>
      <c r="J68" s="49">
        <f t="shared" si="6"/>
        <v>0.02</v>
      </c>
      <c r="K68" s="44">
        <f t="shared" si="7"/>
        <v>0.02</v>
      </c>
      <c r="L68" s="44">
        <f t="shared" si="8"/>
        <v>0.019</v>
      </c>
      <c r="M68" s="44">
        <f t="shared" si="9"/>
        <v>0.021</v>
      </c>
      <c r="N68" s="44">
        <f t="shared" si="10"/>
        <v>0.021</v>
      </c>
      <c r="O68" s="44">
        <f t="shared" si="11"/>
        <v>0.02</v>
      </c>
      <c r="P68" s="44">
        <f t="shared" si="12"/>
        <v>0.02</v>
      </c>
      <c r="Q68" s="44">
        <f t="shared" si="13"/>
        <v>0.019</v>
      </c>
      <c r="R68" s="44">
        <f t="shared" si="14"/>
        <v>0.02</v>
      </c>
      <c r="S68" s="44">
        <f t="shared" si="15"/>
        <v>0.017</v>
      </c>
      <c r="T68" s="44">
        <f t="shared" si="16"/>
        <v>0.018</v>
      </c>
      <c r="U68" s="44">
        <f t="shared" si="17"/>
        <v>0.021</v>
      </c>
      <c r="V68" s="43"/>
      <c r="W68" s="43"/>
      <c r="X68" s="43"/>
      <c r="Y68" s="43"/>
      <c r="Z68" s="43"/>
      <c r="AA68" s="43"/>
      <c r="AB68" s="43"/>
    </row>
    <row r="69">
      <c r="A69" s="43"/>
      <c r="B69" s="44">
        <v>9.0</v>
      </c>
      <c r="C69" s="12" t="s">
        <v>33</v>
      </c>
      <c r="D69" s="13" t="s">
        <v>23</v>
      </c>
      <c r="E69" s="44" t="s">
        <v>29</v>
      </c>
      <c r="F69" s="44">
        <v>2024.0</v>
      </c>
      <c r="G69" s="49">
        <f t="shared" si="3"/>
        <v>0.022</v>
      </c>
      <c r="H69" s="49">
        <f t="shared" si="4"/>
        <v>0.021</v>
      </c>
      <c r="I69" s="49">
        <f t="shared" si="5"/>
        <v>0.021</v>
      </c>
      <c r="J69" s="49">
        <f t="shared" si="6"/>
        <v>0.02</v>
      </c>
      <c r="K69" s="44">
        <f t="shared" si="7"/>
        <v>0.018</v>
      </c>
      <c r="L69" s="44">
        <f t="shared" si="8"/>
        <v>0.02</v>
      </c>
      <c r="M69" s="44">
        <f t="shared" si="9"/>
        <v>0.021</v>
      </c>
      <c r="N69" s="44">
        <f t="shared" si="10"/>
        <v>0.021</v>
      </c>
      <c r="O69" s="44">
        <f t="shared" si="11"/>
        <v>0.02</v>
      </c>
      <c r="P69" s="44">
        <f t="shared" si="12"/>
        <v>0.021</v>
      </c>
      <c r="Q69" s="44">
        <f t="shared" si="13"/>
        <v>0.019</v>
      </c>
      <c r="R69" s="44">
        <f t="shared" si="14"/>
        <v>0.02</v>
      </c>
      <c r="S69" s="44">
        <f t="shared" si="15"/>
        <v>0.022</v>
      </c>
      <c r="T69" s="44">
        <f t="shared" si="16"/>
        <v>0.022</v>
      </c>
      <c r="U69" s="44">
        <f t="shared" si="17"/>
        <v>0.021</v>
      </c>
      <c r="V69" s="43"/>
      <c r="W69" s="43"/>
      <c r="X69" s="43"/>
      <c r="Y69" s="43"/>
      <c r="Z69" s="43"/>
      <c r="AA69" s="43"/>
      <c r="AB69" s="43"/>
    </row>
    <row r="70">
      <c r="A70" s="43"/>
      <c r="B70" s="44">
        <v>10.0</v>
      </c>
      <c r="C70" s="12" t="s">
        <v>34</v>
      </c>
      <c r="D70" s="13" t="s">
        <v>18</v>
      </c>
      <c r="E70" s="44" t="s">
        <v>19</v>
      </c>
      <c r="F70" s="44">
        <v>2024.0</v>
      </c>
      <c r="G70" s="49">
        <f t="shared" si="3"/>
        <v>0.02</v>
      </c>
      <c r="H70" s="49">
        <f t="shared" si="4"/>
        <v>0.02</v>
      </c>
      <c r="I70" s="49">
        <f t="shared" si="5"/>
        <v>0.02</v>
      </c>
      <c r="J70" s="49">
        <f t="shared" si="6"/>
        <v>0.021</v>
      </c>
      <c r="K70" s="44">
        <f t="shared" si="7"/>
        <v>0.02</v>
      </c>
      <c r="L70" s="44">
        <f t="shared" si="8"/>
        <v>0.021</v>
      </c>
      <c r="M70" s="44">
        <f t="shared" si="9"/>
        <v>0.019</v>
      </c>
      <c r="N70" s="44">
        <f t="shared" si="10"/>
        <v>0.02</v>
      </c>
      <c r="O70" s="44">
        <f t="shared" si="11"/>
        <v>0.021</v>
      </c>
      <c r="P70" s="44">
        <f t="shared" si="12"/>
        <v>0.02</v>
      </c>
      <c r="Q70" s="44">
        <f t="shared" si="13"/>
        <v>0.019</v>
      </c>
      <c r="R70" s="44">
        <f t="shared" si="14"/>
        <v>0.02</v>
      </c>
      <c r="S70" s="44">
        <f t="shared" si="15"/>
        <v>0.019</v>
      </c>
      <c r="T70" s="44">
        <f t="shared" si="16"/>
        <v>0.02</v>
      </c>
      <c r="U70" s="44">
        <f t="shared" si="17"/>
        <v>0.021</v>
      </c>
      <c r="V70" s="43"/>
      <c r="W70" s="43"/>
      <c r="X70" s="43"/>
      <c r="Y70" s="43"/>
      <c r="Z70" s="43"/>
      <c r="AA70" s="43"/>
      <c r="AB70" s="43"/>
    </row>
    <row r="71">
      <c r="A71" s="43"/>
      <c r="B71" s="44">
        <v>11.0</v>
      </c>
      <c r="C71" s="12" t="s">
        <v>35</v>
      </c>
      <c r="D71" s="4" t="s">
        <v>23</v>
      </c>
      <c r="E71" s="44" t="s">
        <v>26</v>
      </c>
      <c r="F71" s="44">
        <v>2023.0</v>
      </c>
      <c r="G71" s="49">
        <f t="shared" si="3"/>
        <v>0.02</v>
      </c>
      <c r="H71" s="49">
        <f t="shared" si="4"/>
        <v>0.021</v>
      </c>
      <c r="I71" s="49">
        <f t="shared" si="5"/>
        <v>0.021</v>
      </c>
      <c r="J71" s="49">
        <f t="shared" si="6"/>
        <v>0.021</v>
      </c>
      <c r="K71" s="44">
        <f t="shared" si="7"/>
        <v>0.021</v>
      </c>
      <c r="L71" s="44">
        <f t="shared" si="8"/>
        <v>0.019</v>
      </c>
      <c r="M71" s="44">
        <f t="shared" si="9"/>
        <v>0.021</v>
      </c>
      <c r="N71" s="44">
        <f t="shared" si="10"/>
        <v>0.02</v>
      </c>
      <c r="O71" s="44">
        <f t="shared" si="11"/>
        <v>0.021</v>
      </c>
      <c r="P71" s="44">
        <f t="shared" si="12"/>
        <v>0.02</v>
      </c>
      <c r="Q71" s="44">
        <f t="shared" si="13"/>
        <v>0.019</v>
      </c>
      <c r="R71" s="44">
        <f t="shared" si="14"/>
        <v>0.021</v>
      </c>
      <c r="S71" s="44">
        <f t="shared" si="15"/>
        <v>0.021</v>
      </c>
      <c r="T71" s="44">
        <f t="shared" si="16"/>
        <v>0.021</v>
      </c>
      <c r="U71" s="44">
        <f t="shared" si="17"/>
        <v>0.021</v>
      </c>
      <c r="V71" s="43"/>
      <c r="W71" s="43"/>
      <c r="X71" s="43"/>
      <c r="Y71" s="43"/>
      <c r="Z71" s="43"/>
      <c r="AA71" s="43"/>
      <c r="AB71" s="43"/>
    </row>
    <row r="72">
      <c r="A72" s="43"/>
      <c r="B72" s="44">
        <v>12.0</v>
      </c>
      <c r="C72" s="12" t="s">
        <v>36</v>
      </c>
      <c r="D72" s="4" t="s">
        <v>23</v>
      </c>
      <c r="E72" s="44" t="s">
        <v>19</v>
      </c>
      <c r="F72" s="44">
        <v>2024.0</v>
      </c>
      <c r="G72" s="49">
        <f t="shared" si="3"/>
        <v>0.021</v>
      </c>
      <c r="H72" s="49">
        <f t="shared" si="4"/>
        <v>0.021</v>
      </c>
      <c r="I72" s="49">
        <f t="shared" si="5"/>
        <v>0.021</v>
      </c>
      <c r="J72" s="49">
        <f t="shared" si="6"/>
        <v>0.021</v>
      </c>
      <c r="K72" s="44">
        <f t="shared" si="7"/>
        <v>0.02</v>
      </c>
      <c r="L72" s="44">
        <f t="shared" si="8"/>
        <v>0.021</v>
      </c>
      <c r="M72" s="44">
        <f t="shared" si="9"/>
        <v>0.022</v>
      </c>
      <c r="N72" s="44">
        <f t="shared" si="10"/>
        <v>0.02</v>
      </c>
      <c r="O72" s="44">
        <f t="shared" si="11"/>
        <v>0.021</v>
      </c>
      <c r="P72" s="44">
        <f t="shared" si="12"/>
        <v>0.02</v>
      </c>
      <c r="Q72" s="44">
        <f t="shared" si="13"/>
        <v>0.025</v>
      </c>
      <c r="R72" s="44">
        <f t="shared" si="14"/>
        <v>0.021</v>
      </c>
      <c r="S72" s="44">
        <f t="shared" si="15"/>
        <v>0.021</v>
      </c>
      <c r="T72" s="44">
        <f t="shared" si="16"/>
        <v>0.022</v>
      </c>
      <c r="U72" s="44">
        <f t="shared" si="17"/>
        <v>0.021</v>
      </c>
      <c r="V72" s="43"/>
      <c r="W72" s="43"/>
      <c r="X72" s="43"/>
      <c r="Y72" s="43"/>
      <c r="Z72" s="43"/>
      <c r="AA72" s="43"/>
      <c r="AB72" s="43"/>
    </row>
    <row r="73">
      <c r="A73" s="43"/>
      <c r="B73" s="44">
        <v>13.0</v>
      </c>
      <c r="C73" s="12" t="s">
        <v>37</v>
      </c>
      <c r="D73" s="13" t="s">
        <v>18</v>
      </c>
      <c r="E73" s="44" t="s">
        <v>38</v>
      </c>
      <c r="F73" s="44">
        <v>2024.0</v>
      </c>
      <c r="G73" s="49">
        <f t="shared" si="3"/>
        <v>0.018</v>
      </c>
      <c r="H73" s="49">
        <f t="shared" si="4"/>
        <v>0.019</v>
      </c>
      <c r="I73" s="49">
        <f t="shared" si="5"/>
        <v>0.021</v>
      </c>
      <c r="J73" s="49">
        <f t="shared" si="6"/>
        <v>0.017</v>
      </c>
      <c r="K73" s="44">
        <f t="shared" si="7"/>
        <v>0.021</v>
      </c>
      <c r="L73" s="44">
        <f t="shared" si="8"/>
        <v>0.02</v>
      </c>
      <c r="M73" s="44">
        <f t="shared" si="9"/>
        <v>0.021</v>
      </c>
      <c r="N73" s="44">
        <f t="shared" si="10"/>
        <v>0.02</v>
      </c>
      <c r="O73" s="44">
        <f t="shared" si="11"/>
        <v>0.021</v>
      </c>
      <c r="P73" s="44">
        <f t="shared" si="12"/>
        <v>0.019</v>
      </c>
      <c r="Q73" s="44">
        <f t="shared" si="13"/>
        <v>0.019</v>
      </c>
      <c r="R73" s="44">
        <f t="shared" si="14"/>
        <v>0.019</v>
      </c>
      <c r="S73" s="44">
        <f t="shared" si="15"/>
        <v>0.017</v>
      </c>
      <c r="T73" s="44">
        <f t="shared" si="16"/>
        <v>0.019</v>
      </c>
      <c r="U73" s="44">
        <f t="shared" si="17"/>
        <v>0.018</v>
      </c>
      <c r="V73" s="43"/>
      <c r="W73" s="43"/>
      <c r="X73" s="43"/>
      <c r="Y73" s="43"/>
      <c r="Z73" s="43"/>
      <c r="AA73" s="43"/>
      <c r="AB73" s="43"/>
    </row>
    <row r="74">
      <c r="A74" s="43"/>
      <c r="B74" s="44">
        <v>14.0</v>
      </c>
      <c r="C74" s="12" t="s">
        <v>39</v>
      </c>
      <c r="D74" s="4" t="s">
        <v>23</v>
      </c>
      <c r="E74" s="44" t="s">
        <v>21</v>
      </c>
      <c r="F74" s="44">
        <v>2024.0</v>
      </c>
      <c r="G74" s="49">
        <f t="shared" si="3"/>
        <v>0.021</v>
      </c>
      <c r="H74" s="49">
        <f t="shared" si="4"/>
        <v>0.021</v>
      </c>
      <c r="I74" s="49">
        <f t="shared" si="5"/>
        <v>0.02</v>
      </c>
      <c r="J74" s="49">
        <f t="shared" si="6"/>
        <v>0.021</v>
      </c>
      <c r="K74" s="44">
        <f t="shared" si="7"/>
        <v>0.02</v>
      </c>
      <c r="L74" s="44">
        <f t="shared" si="8"/>
        <v>0.02</v>
      </c>
      <c r="M74" s="44">
        <f t="shared" si="9"/>
        <v>0.019</v>
      </c>
      <c r="N74" s="44">
        <f t="shared" si="10"/>
        <v>0.02</v>
      </c>
      <c r="O74" s="44">
        <f t="shared" si="11"/>
        <v>0.02</v>
      </c>
      <c r="P74" s="44">
        <f t="shared" si="12"/>
        <v>0.021</v>
      </c>
      <c r="Q74" s="44">
        <f t="shared" si="13"/>
        <v>0.019</v>
      </c>
      <c r="R74" s="44">
        <f t="shared" si="14"/>
        <v>0.021</v>
      </c>
      <c r="S74" s="44">
        <f t="shared" si="15"/>
        <v>0.02</v>
      </c>
      <c r="T74" s="44">
        <f t="shared" si="16"/>
        <v>0.02</v>
      </c>
      <c r="U74" s="44">
        <f t="shared" si="17"/>
        <v>0.021</v>
      </c>
      <c r="V74" s="43"/>
      <c r="W74" s="43"/>
      <c r="X74" s="43"/>
      <c r="Y74" s="43"/>
      <c r="Z74" s="43"/>
      <c r="AA74" s="43"/>
      <c r="AB74" s="43"/>
    </row>
    <row r="75">
      <c r="A75" s="43"/>
      <c r="B75" s="44">
        <v>15.0</v>
      </c>
      <c r="C75" s="12" t="s">
        <v>40</v>
      </c>
      <c r="D75" s="13" t="s">
        <v>18</v>
      </c>
      <c r="E75" s="44" t="s">
        <v>19</v>
      </c>
      <c r="F75" s="44">
        <v>2024.0</v>
      </c>
      <c r="G75" s="49">
        <f t="shared" si="3"/>
        <v>0.02</v>
      </c>
      <c r="H75" s="49">
        <f t="shared" si="4"/>
        <v>0.02</v>
      </c>
      <c r="I75" s="49">
        <f t="shared" si="5"/>
        <v>0.021</v>
      </c>
      <c r="J75" s="49">
        <f t="shared" si="6"/>
        <v>0.02</v>
      </c>
      <c r="K75" s="44">
        <f t="shared" si="7"/>
        <v>0.019</v>
      </c>
      <c r="L75" s="44">
        <f t="shared" si="8"/>
        <v>0.02</v>
      </c>
      <c r="M75" s="44">
        <f t="shared" si="9"/>
        <v>0.021</v>
      </c>
      <c r="N75" s="44">
        <f t="shared" si="10"/>
        <v>0.02</v>
      </c>
      <c r="O75" s="44">
        <f t="shared" si="11"/>
        <v>0.02</v>
      </c>
      <c r="P75" s="44">
        <f t="shared" si="12"/>
        <v>0.021</v>
      </c>
      <c r="Q75" s="44">
        <f t="shared" si="13"/>
        <v>0.025</v>
      </c>
      <c r="R75" s="44">
        <f t="shared" si="14"/>
        <v>0.02</v>
      </c>
      <c r="S75" s="44">
        <f t="shared" si="15"/>
        <v>0.022</v>
      </c>
      <c r="T75" s="44">
        <f t="shared" si="16"/>
        <v>0.02</v>
      </c>
      <c r="U75" s="44">
        <f t="shared" si="17"/>
        <v>0.021</v>
      </c>
      <c r="V75" s="43"/>
      <c r="W75" s="43"/>
      <c r="X75" s="43"/>
      <c r="Y75" s="43"/>
      <c r="Z75" s="43"/>
      <c r="AA75" s="43"/>
      <c r="AB75" s="43"/>
    </row>
    <row r="76">
      <c r="A76" s="43"/>
      <c r="B76" s="44">
        <v>16.0</v>
      </c>
      <c r="C76" s="12" t="s">
        <v>41</v>
      </c>
      <c r="D76" s="4" t="s">
        <v>23</v>
      </c>
      <c r="E76" s="44" t="s">
        <v>26</v>
      </c>
      <c r="F76" s="44">
        <v>2023.0</v>
      </c>
      <c r="G76" s="49">
        <f t="shared" si="3"/>
        <v>0.02</v>
      </c>
      <c r="H76" s="49">
        <f t="shared" si="4"/>
        <v>0.02</v>
      </c>
      <c r="I76" s="49">
        <f t="shared" si="5"/>
        <v>0.02</v>
      </c>
      <c r="J76" s="49">
        <f t="shared" si="6"/>
        <v>0.02</v>
      </c>
      <c r="K76" s="44">
        <f t="shared" si="7"/>
        <v>0.02</v>
      </c>
      <c r="L76" s="44">
        <f t="shared" si="8"/>
        <v>0.019</v>
      </c>
      <c r="M76" s="44">
        <f t="shared" si="9"/>
        <v>0.019</v>
      </c>
      <c r="N76" s="44">
        <f t="shared" si="10"/>
        <v>0.02</v>
      </c>
      <c r="O76" s="44">
        <f t="shared" si="11"/>
        <v>0.02</v>
      </c>
      <c r="P76" s="44">
        <f t="shared" si="12"/>
        <v>0.021</v>
      </c>
      <c r="Q76" s="44">
        <f t="shared" si="13"/>
        <v>0.019</v>
      </c>
      <c r="R76" s="44">
        <f t="shared" si="14"/>
        <v>0.02</v>
      </c>
      <c r="S76" s="44">
        <f t="shared" si="15"/>
        <v>0.022</v>
      </c>
      <c r="T76" s="44">
        <f t="shared" si="16"/>
        <v>0.021</v>
      </c>
      <c r="U76" s="44">
        <f t="shared" si="17"/>
        <v>0.021</v>
      </c>
      <c r="V76" s="43"/>
      <c r="W76" s="43"/>
      <c r="X76" s="43"/>
      <c r="Y76" s="43"/>
      <c r="Z76" s="43"/>
      <c r="AA76" s="43"/>
      <c r="AB76" s="43"/>
    </row>
    <row r="77">
      <c r="A77" s="43"/>
      <c r="B77" s="44">
        <v>17.0</v>
      </c>
      <c r="C77" s="12" t="s">
        <v>42</v>
      </c>
      <c r="D77" s="13" t="s">
        <v>18</v>
      </c>
      <c r="E77" s="44" t="s">
        <v>24</v>
      </c>
      <c r="F77" s="44">
        <v>2024.0</v>
      </c>
      <c r="G77" s="49">
        <f t="shared" si="3"/>
        <v>0.02</v>
      </c>
      <c r="H77" s="49">
        <f t="shared" si="4"/>
        <v>0.02</v>
      </c>
      <c r="I77" s="49">
        <f t="shared" si="5"/>
        <v>0.02</v>
      </c>
      <c r="J77" s="49">
        <f t="shared" si="6"/>
        <v>0.02</v>
      </c>
      <c r="K77" s="44">
        <f t="shared" si="7"/>
        <v>0.021</v>
      </c>
      <c r="L77" s="44">
        <f t="shared" si="8"/>
        <v>0.021</v>
      </c>
      <c r="M77" s="44">
        <f t="shared" si="9"/>
        <v>0.019</v>
      </c>
      <c r="N77" s="44">
        <f t="shared" si="10"/>
        <v>0.02</v>
      </c>
      <c r="O77" s="44">
        <f t="shared" si="11"/>
        <v>0.02</v>
      </c>
      <c r="P77" s="44">
        <f t="shared" si="12"/>
        <v>0.02</v>
      </c>
      <c r="Q77" s="44">
        <f t="shared" si="13"/>
        <v>0.019</v>
      </c>
      <c r="R77" s="44">
        <f t="shared" si="14"/>
        <v>0.02</v>
      </c>
      <c r="S77" s="44">
        <f t="shared" si="15"/>
        <v>0.019</v>
      </c>
      <c r="T77" s="44">
        <f t="shared" si="16"/>
        <v>0.02</v>
      </c>
      <c r="U77" s="44">
        <f t="shared" si="17"/>
        <v>0.021</v>
      </c>
      <c r="V77" s="43"/>
      <c r="W77" s="43"/>
      <c r="X77" s="43"/>
      <c r="Y77" s="43"/>
      <c r="Z77" s="43"/>
      <c r="AA77" s="43"/>
      <c r="AB77" s="43"/>
    </row>
    <row r="78">
      <c r="A78" s="43"/>
      <c r="B78" s="44">
        <v>18.0</v>
      </c>
      <c r="C78" s="12" t="s">
        <v>43</v>
      </c>
      <c r="D78" s="13" t="s">
        <v>23</v>
      </c>
      <c r="E78" s="44" t="s">
        <v>26</v>
      </c>
      <c r="F78" s="44">
        <v>2024.0</v>
      </c>
      <c r="G78" s="49">
        <f t="shared" si="3"/>
        <v>0.021</v>
      </c>
      <c r="H78" s="49">
        <f t="shared" si="4"/>
        <v>0.02</v>
      </c>
      <c r="I78" s="49">
        <f t="shared" si="5"/>
        <v>0.021</v>
      </c>
      <c r="J78" s="49">
        <f t="shared" si="6"/>
        <v>0.02</v>
      </c>
      <c r="K78" s="44">
        <f t="shared" si="7"/>
        <v>0.021</v>
      </c>
      <c r="L78" s="44">
        <f t="shared" si="8"/>
        <v>0.021</v>
      </c>
      <c r="M78" s="44">
        <f t="shared" si="9"/>
        <v>0.021</v>
      </c>
      <c r="N78" s="44">
        <f t="shared" si="10"/>
        <v>0.02</v>
      </c>
      <c r="O78" s="44">
        <f t="shared" si="11"/>
        <v>0.021</v>
      </c>
      <c r="P78" s="44">
        <f t="shared" si="12"/>
        <v>0.021</v>
      </c>
      <c r="Q78" s="44">
        <f t="shared" si="13"/>
        <v>0.019</v>
      </c>
      <c r="R78" s="44">
        <f t="shared" si="14"/>
        <v>0.02</v>
      </c>
      <c r="S78" s="44">
        <f t="shared" si="15"/>
        <v>0.02</v>
      </c>
      <c r="T78" s="44">
        <f t="shared" si="16"/>
        <v>0.019</v>
      </c>
      <c r="U78" s="44">
        <f t="shared" si="17"/>
        <v>0.021</v>
      </c>
      <c r="V78" s="43"/>
      <c r="W78" s="43"/>
      <c r="X78" s="43"/>
      <c r="Y78" s="43"/>
      <c r="Z78" s="43"/>
      <c r="AA78" s="43"/>
      <c r="AB78" s="43"/>
    </row>
    <row r="79">
      <c r="A79" s="43"/>
      <c r="B79" s="44">
        <v>19.0</v>
      </c>
      <c r="C79" s="12" t="s">
        <v>44</v>
      </c>
      <c r="D79" s="13" t="s">
        <v>18</v>
      </c>
      <c r="E79" s="44" t="s">
        <v>19</v>
      </c>
      <c r="F79" s="44">
        <v>2024.0</v>
      </c>
      <c r="G79" s="49">
        <f t="shared" si="3"/>
        <v>0.019</v>
      </c>
      <c r="H79" s="49">
        <f t="shared" si="4"/>
        <v>0.02</v>
      </c>
      <c r="I79" s="49">
        <f t="shared" si="5"/>
        <v>0.02</v>
      </c>
      <c r="J79" s="49">
        <f t="shared" si="6"/>
        <v>0.02</v>
      </c>
      <c r="K79" s="44">
        <f t="shared" si="7"/>
        <v>0.019</v>
      </c>
      <c r="L79" s="44">
        <f t="shared" si="8"/>
        <v>0.018</v>
      </c>
      <c r="M79" s="44">
        <f t="shared" si="9"/>
        <v>0.021</v>
      </c>
      <c r="N79" s="44">
        <f t="shared" si="10"/>
        <v>0.021</v>
      </c>
      <c r="O79" s="44">
        <f t="shared" si="11"/>
        <v>0.02</v>
      </c>
      <c r="P79" s="44">
        <f t="shared" si="12"/>
        <v>0.02</v>
      </c>
      <c r="Q79" s="44">
        <f t="shared" si="13"/>
        <v>0.019</v>
      </c>
      <c r="R79" s="44">
        <f t="shared" si="14"/>
        <v>0.02</v>
      </c>
      <c r="S79" s="44">
        <f t="shared" si="15"/>
        <v>0.02</v>
      </c>
      <c r="T79" s="44">
        <f t="shared" si="16"/>
        <v>0.019</v>
      </c>
      <c r="U79" s="44">
        <f t="shared" si="17"/>
        <v>0.021</v>
      </c>
      <c r="V79" s="43"/>
      <c r="W79" s="43"/>
      <c r="X79" s="43"/>
      <c r="Y79" s="43"/>
      <c r="Z79" s="43"/>
      <c r="AA79" s="43"/>
      <c r="AB79" s="43"/>
    </row>
    <row r="80">
      <c r="A80" s="43"/>
      <c r="B80" s="44">
        <v>20.0</v>
      </c>
      <c r="C80" s="12" t="s">
        <v>45</v>
      </c>
      <c r="D80" s="4" t="s">
        <v>23</v>
      </c>
      <c r="E80" s="44" t="s">
        <v>21</v>
      </c>
      <c r="F80" s="44">
        <v>2024.0</v>
      </c>
      <c r="G80" s="49">
        <f t="shared" si="3"/>
        <v>0.02</v>
      </c>
      <c r="H80" s="49">
        <f t="shared" si="4"/>
        <v>0.021</v>
      </c>
      <c r="I80" s="49">
        <f t="shared" si="5"/>
        <v>0.02</v>
      </c>
      <c r="J80" s="49">
        <f t="shared" si="6"/>
        <v>0.02</v>
      </c>
      <c r="K80" s="44">
        <f t="shared" si="7"/>
        <v>0.02</v>
      </c>
      <c r="L80" s="44">
        <f t="shared" si="8"/>
        <v>0.021</v>
      </c>
      <c r="M80" s="44">
        <f t="shared" si="9"/>
        <v>0.019</v>
      </c>
      <c r="N80" s="44">
        <f t="shared" si="10"/>
        <v>0.022</v>
      </c>
      <c r="O80" s="44">
        <f t="shared" si="11"/>
        <v>0.02</v>
      </c>
      <c r="P80" s="44">
        <f t="shared" si="12"/>
        <v>0.021</v>
      </c>
      <c r="Q80" s="44">
        <f t="shared" si="13"/>
        <v>0.022</v>
      </c>
      <c r="R80" s="44">
        <f t="shared" si="14"/>
        <v>0.021</v>
      </c>
      <c r="S80" s="44">
        <f t="shared" si="15"/>
        <v>0.022</v>
      </c>
      <c r="T80" s="44">
        <f t="shared" si="16"/>
        <v>0.019</v>
      </c>
      <c r="U80" s="44">
        <f t="shared" si="17"/>
        <v>0.021</v>
      </c>
      <c r="V80" s="43"/>
      <c r="W80" s="43"/>
      <c r="X80" s="43"/>
      <c r="Y80" s="43"/>
      <c r="Z80" s="43"/>
      <c r="AA80" s="43"/>
      <c r="AB80" s="43"/>
    </row>
    <row r="81">
      <c r="A81" s="43"/>
      <c r="B81" s="44">
        <v>21.0</v>
      </c>
      <c r="C81" s="12" t="s">
        <v>46</v>
      </c>
      <c r="D81" s="13" t="s">
        <v>18</v>
      </c>
      <c r="E81" s="44" t="s">
        <v>19</v>
      </c>
      <c r="F81" s="44">
        <v>2024.0</v>
      </c>
      <c r="G81" s="49">
        <f t="shared" si="3"/>
        <v>0.02</v>
      </c>
      <c r="H81" s="49">
        <f t="shared" si="4"/>
        <v>0.02</v>
      </c>
      <c r="I81" s="49">
        <f t="shared" si="5"/>
        <v>0.02</v>
      </c>
      <c r="J81" s="49">
        <f t="shared" si="6"/>
        <v>0.02</v>
      </c>
      <c r="K81" s="44">
        <f t="shared" si="7"/>
        <v>0.02</v>
      </c>
      <c r="L81" s="44">
        <f t="shared" si="8"/>
        <v>0.021</v>
      </c>
      <c r="M81" s="44">
        <f t="shared" si="9"/>
        <v>0.021</v>
      </c>
      <c r="N81" s="44">
        <f t="shared" si="10"/>
        <v>0.021</v>
      </c>
      <c r="O81" s="44">
        <f t="shared" si="11"/>
        <v>0.021</v>
      </c>
      <c r="P81" s="44">
        <f t="shared" si="12"/>
        <v>0.021</v>
      </c>
      <c r="Q81" s="44">
        <f t="shared" si="13"/>
        <v>0.019</v>
      </c>
      <c r="R81" s="44">
        <f t="shared" si="14"/>
        <v>0.02</v>
      </c>
      <c r="S81" s="44">
        <f t="shared" si="15"/>
        <v>0.02</v>
      </c>
      <c r="T81" s="44">
        <f t="shared" si="16"/>
        <v>0.02</v>
      </c>
      <c r="U81" s="44">
        <f t="shared" si="17"/>
        <v>0.021</v>
      </c>
      <c r="V81" s="43"/>
      <c r="W81" s="43"/>
      <c r="X81" s="43"/>
      <c r="Y81" s="43"/>
      <c r="Z81" s="43"/>
      <c r="AA81" s="43"/>
      <c r="AB81" s="43"/>
    </row>
    <row r="82">
      <c r="A82" s="43"/>
      <c r="B82" s="44">
        <v>22.0</v>
      </c>
      <c r="C82" s="12" t="s">
        <v>47</v>
      </c>
      <c r="D82" s="4" t="s">
        <v>23</v>
      </c>
      <c r="E82" s="44" t="s">
        <v>19</v>
      </c>
      <c r="F82" s="44">
        <v>2024.0</v>
      </c>
      <c r="G82" s="49">
        <f t="shared" si="3"/>
        <v>0.018</v>
      </c>
      <c r="H82" s="49">
        <f t="shared" si="4"/>
        <v>0.02</v>
      </c>
      <c r="I82" s="49">
        <f t="shared" si="5"/>
        <v>0.02</v>
      </c>
      <c r="J82" s="49">
        <f t="shared" si="6"/>
        <v>0.02</v>
      </c>
      <c r="K82" s="44">
        <f t="shared" si="7"/>
        <v>0.019</v>
      </c>
      <c r="L82" s="44">
        <f t="shared" si="8"/>
        <v>0.018</v>
      </c>
      <c r="M82" s="44">
        <f t="shared" si="9"/>
        <v>0.021</v>
      </c>
      <c r="N82" s="44">
        <f t="shared" si="10"/>
        <v>0.02</v>
      </c>
      <c r="O82" s="44">
        <f t="shared" si="11"/>
        <v>0.02</v>
      </c>
      <c r="P82" s="44">
        <f t="shared" si="12"/>
        <v>0.019</v>
      </c>
      <c r="Q82" s="44">
        <f t="shared" si="13"/>
        <v>0.019</v>
      </c>
      <c r="R82" s="44">
        <f t="shared" si="14"/>
        <v>0.019</v>
      </c>
      <c r="S82" s="44">
        <f t="shared" si="15"/>
        <v>0.017</v>
      </c>
      <c r="T82" s="44">
        <f t="shared" si="16"/>
        <v>0.019</v>
      </c>
      <c r="U82" s="44">
        <f t="shared" si="17"/>
        <v>0.019</v>
      </c>
      <c r="V82" s="43"/>
      <c r="W82" s="43"/>
      <c r="X82" s="43"/>
      <c r="Y82" s="43"/>
      <c r="Z82" s="43"/>
      <c r="AA82" s="43"/>
      <c r="AB82" s="43"/>
    </row>
    <row r="83">
      <c r="A83" s="43"/>
      <c r="B83" s="44">
        <v>23.0</v>
      </c>
      <c r="C83" s="12" t="s">
        <v>48</v>
      </c>
      <c r="D83" s="13" t="s">
        <v>18</v>
      </c>
      <c r="E83" s="44" t="s">
        <v>19</v>
      </c>
      <c r="F83" s="44">
        <v>2024.0</v>
      </c>
      <c r="G83" s="49">
        <f t="shared" si="3"/>
        <v>0.022</v>
      </c>
      <c r="H83" s="49">
        <f t="shared" si="4"/>
        <v>0.021</v>
      </c>
      <c r="I83" s="49">
        <f t="shared" si="5"/>
        <v>0.02</v>
      </c>
      <c r="J83" s="49">
        <f t="shared" si="6"/>
        <v>0.021</v>
      </c>
      <c r="K83" s="44">
        <f t="shared" si="7"/>
        <v>0.02</v>
      </c>
      <c r="L83" s="44">
        <f t="shared" si="8"/>
        <v>0.019</v>
      </c>
      <c r="M83" s="44">
        <f t="shared" si="9"/>
        <v>0.021</v>
      </c>
      <c r="N83" s="44">
        <f t="shared" si="10"/>
        <v>0.022</v>
      </c>
      <c r="O83" s="44">
        <f t="shared" si="11"/>
        <v>0.02</v>
      </c>
      <c r="P83" s="44">
        <f t="shared" si="12"/>
        <v>0.021</v>
      </c>
      <c r="Q83" s="44">
        <f t="shared" si="13"/>
        <v>0.019</v>
      </c>
      <c r="R83" s="44">
        <f t="shared" si="14"/>
        <v>0.02</v>
      </c>
      <c r="S83" s="44">
        <f t="shared" si="15"/>
        <v>0.021</v>
      </c>
      <c r="T83" s="44">
        <f t="shared" si="16"/>
        <v>0.022</v>
      </c>
      <c r="U83" s="44">
        <f t="shared" si="17"/>
        <v>0.021</v>
      </c>
      <c r="V83" s="43"/>
      <c r="W83" s="43"/>
      <c r="X83" s="43"/>
      <c r="Y83" s="43"/>
      <c r="Z83" s="43"/>
      <c r="AA83" s="43"/>
      <c r="AB83" s="43"/>
    </row>
    <row r="84">
      <c r="A84" s="43"/>
      <c r="B84" s="44">
        <v>24.0</v>
      </c>
      <c r="C84" s="12" t="s">
        <v>49</v>
      </c>
      <c r="D84" s="4" t="s">
        <v>23</v>
      </c>
      <c r="E84" s="44" t="s">
        <v>26</v>
      </c>
      <c r="F84" s="44">
        <v>2024.0</v>
      </c>
      <c r="G84" s="49">
        <f t="shared" si="3"/>
        <v>0.02</v>
      </c>
      <c r="H84" s="49">
        <f t="shared" si="4"/>
        <v>0.021</v>
      </c>
      <c r="I84" s="49">
        <f t="shared" si="5"/>
        <v>0.021</v>
      </c>
      <c r="J84" s="49">
        <f t="shared" si="6"/>
        <v>0.021</v>
      </c>
      <c r="K84" s="44">
        <f t="shared" si="7"/>
        <v>0.02</v>
      </c>
      <c r="L84" s="44">
        <f t="shared" si="8"/>
        <v>0.022</v>
      </c>
      <c r="M84" s="44">
        <f t="shared" si="9"/>
        <v>0.022</v>
      </c>
      <c r="N84" s="44">
        <f t="shared" si="10"/>
        <v>0.02</v>
      </c>
      <c r="O84" s="44">
        <f t="shared" si="11"/>
        <v>0.02</v>
      </c>
      <c r="P84" s="44">
        <f t="shared" si="12"/>
        <v>0.021</v>
      </c>
      <c r="Q84" s="44">
        <f t="shared" si="13"/>
        <v>0.019</v>
      </c>
      <c r="R84" s="44">
        <f t="shared" si="14"/>
        <v>0.021</v>
      </c>
      <c r="S84" s="44">
        <f t="shared" si="15"/>
        <v>0.021</v>
      </c>
      <c r="T84" s="44">
        <f t="shared" si="16"/>
        <v>0.021</v>
      </c>
      <c r="U84" s="44">
        <f t="shared" si="17"/>
        <v>0.021</v>
      </c>
      <c r="V84" s="43"/>
      <c r="W84" s="43"/>
      <c r="X84" s="43"/>
      <c r="Y84" s="43"/>
      <c r="Z84" s="43"/>
      <c r="AA84" s="43"/>
      <c r="AB84" s="43"/>
    </row>
    <row r="85">
      <c r="A85" s="43"/>
      <c r="B85" s="44">
        <v>25.0</v>
      </c>
      <c r="C85" s="12" t="s">
        <v>50</v>
      </c>
      <c r="D85" s="4" t="s">
        <v>18</v>
      </c>
      <c r="E85" s="44" t="s">
        <v>31</v>
      </c>
      <c r="F85" s="44">
        <v>2024.0</v>
      </c>
      <c r="G85" s="49">
        <f t="shared" si="3"/>
        <v>0.021</v>
      </c>
      <c r="H85" s="49">
        <f t="shared" si="4"/>
        <v>0.02</v>
      </c>
      <c r="I85" s="49">
        <f t="shared" si="5"/>
        <v>0.021</v>
      </c>
      <c r="J85" s="49">
        <f t="shared" si="6"/>
        <v>0.02</v>
      </c>
      <c r="K85" s="44">
        <f t="shared" si="7"/>
        <v>0.02</v>
      </c>
      <c r="L85" s="44">
        <f t="shared" si="8"/>
        <v>0.022</v>
      </c>
      <c r="M85" s="44">
        <f t="shared" si="9"/>
        <v>0.021</v>
      </c>
      <c r="N85" s="44">
        <f t="shared" si="10"/>
        <v>0.021</v>
      </c>
      <c r="O85" s="44">
        <f t="shared" si="11"/>
        <v>0.021</v>
      </c>
      <c r="P85" s="44">
        <f t="shared" si="12"/>
        <v>0.02</v>
      </c>
      <c r="Q85" s="44">
        <f t="shared" si="13"/>
        <v>0.019</v>
      </c>
      <c r="R85" s="44">
        <f t="shared" si="14"/>
        <v>0.02</v>
      </c>
      <c r="S85" s="44">
        <f t="shared" si="15"/>
        <v>0.02</v>
      </c>
      <c r="T85" s="44">
        <f t="shared" si="16"/>
        <v>0.021</v>
      </c>
      <c r="U85" s="44">
        <f t="shared" si="17"/>
        <v>0.021</v>
      </c>
      <c r="V85" s="43"/>
      <c r="W85" s="43"/>
      <c r="X85" s="43"/>
      <c r="Y85" s="43"/>
      <c r="Z85" s="43"/>
      <c r="AA85" s="43"/>
      <c r="AB85" s="43"/>
    </row>
    <row r="86">
      <c r="A86" s="43"/>
      <c r="B86" s="44">
        <v>26.0</v>
      </c>
      <c r="C86" s="12" t="s">
        <v>51</v>
      </c>
      <c r="D86" s="13" t="s">
        <v>23</v>
      </c>
      <c r="E86" s="44" t="s">
        <v>31</v>
      </c>
      <c r="F86" s="44">
        <v>2024.0</v>
      </c>
      <c r="G86" s="49">
        <f t="shared" si="3"/>
        <v>0.022</v>
      </c>
      <c r="H86" s="49">
        <f t="shared" si="4"/>
        <v>0.021</v>
      </c>
      <c r="I86" s="49">
        <f t="shared" si="5"/>
        <v>0.021</v>
      </c>
      <c r="J86" s="49">
        <f t="shared" si="6"/>
        <v>0.021</v>
      </c>
      <c r="K86" s="44">
        <f t="shared" si="7"/>
        <v>0.021</v>
      </c>
      <c r="L86" s="44">
        <f t="shared" si="8"/>
        <v>0.021</v>
      </c>
      <c r="M86" s="44">
        <f t="shared" si="9"/>
        <v>0.018</v>
      </c>
      <c r="N86" s="44">
        <f t="shared" si="10"/>
        <v>0.022</v>
      </c>
      <c r="O86" s="44">
        <f t="shared" si="11"/>
        <v>0.02</v>
      </c>
      <c r="P86" s="44">
        <f t="shared" si="12"/>
        <v>0.021</v>
      </c>
      <c r="Q86" s="44">
        <f t="shared" si="13"/>
        <v>0.025</v>
      </c>
      <c r="R86" s="44">
        <f t="shared" si="14"/>
        <v>0.021</v>
      </c>
      <c r="S86" s="44">
        <f t="shared" si="15"/>
        <v>0.022</v>
      </c>
      <c r="T86" s="44">
        <f t="shared" si="16"/>
        <v>0.022</v>
      </c>
      <c r="U86" s="44">
        <f t="shared" si="17"/>
        <v>0.021</v>
      </c>
      <c r="V86" s="43"/>
      <c r="W86" s="43"/>
      <c r="X86" s="43"/>
      <c r="Y86" s="43"/>
      <c r="Z86" s="43"/>
      <c r="AA86" s="43"/>
      <c r="AB86" s="43"/>
    </row>
    <row r="87">
      <c r="A87" s="43"/>
      <c r="B87" s="44">
        <v>27.0</v>
      </c>
      <c r="C87" s="12" t="s">
        <v>52</v>
      </c>
      <c r="D87" s="4" t="s">
        <v>18</v>
      </c>
      <c r="E87" s="44" t="s">
        <v>21</v>
      </c>
      <c r="F87" s="44">
        <v>2024.0</v>
      </c>
      <c r="G87" s="49">
        <f t="shared" si="3"/>
        <v>0.021</v>
      </c>
      <c r="H87" s="49">
        <f t="shared" si="4"/>
        <v>0.021</v>
      </c>
      <c r="I87" s="49">
        <f t="shared" si="5"/>
        <v>0.02</v>
      </c>
      <c r="J87" s="49">
        <f t="shared" si="6"/>
        <v>0.021</v>
      </c>
      <c r="K87" s="44">
        <f t="shared" si="7"/>
        <v>0.02</v>
      </c>
      <c r="L87" s="44">
        <f t="shared" si="8"/>
        <v>0.02</v>
      </c>
      <c r="M87" s="44">
        <f t="shared" si="9"/>
        <v>0.021</v>
      </c>
      <c r="N87" s="44">
        <f t="shared" si="10"/>
        <v>0.02</v>
      </c>
      <c r="O87" s="44">
        <f t="shared" si="11"/>
        <v>0.021</v>
      </c>
      <c r="P87" s="44">
        <f t="shared" si="12"/>
        <v>0.021</v>
      </c>
      <c r="Q87" s="44">
        <f t="shared" si="13"/>
        <v>0.025</v>
      </c>
      <c r="R87" s="44">
        <f t="shared" si="14"/>
        <v>0.021</v>
      </c>
      <c r="S87" s="44">
        <f t="shared" si="15"/>
        <v>0.022</v>
      </c>
      <c r="T87" s="44">
        <f t="shared" si="16"/>
        <v>0.022</v>
      </c>
      <c r="U87" s="44">
        <f t="shared" si="17"/>
        <v>0.02</v>
      </c>
      <c r="V87" s="43"/>
      <c r="W87" s="43"/>
      <c r="X87" s="43"/>
      <c r="Y87" s="43"/>
      <c r="Z87" s="43"/>
      <c r="AA87" s="43"/>
      <c r="AB87" s="43"/>
    </row>
    <row r="88">
      <c r="A88" s="43"/>
      <c r="B88" s="44">
        <v>28.0</v>
      </c>
      <c r="C88" s="12" t="s">
        <v>53</v>
      </c>
      <c r="D88" s="4" t="s">
        <v>18</v>
      </c>
      <c r="E88" s="44" t="s">
        <v>31</v>
      </c>
      <c r="F88" s="44">
        <v>2024.0</v>
      </c>
      <c r="G88" s="49">
        <f t="shared" si="3"/>
        <v>0.02</v>
      </c>
      <c r="H88" s="49">
        <f t="shared" si="4"/>
        <v>0.02</v>
      </c>
      <c r="I88" s="49">
        <f t="shared" si="5"/>
        <v>0.02</v>
      </c>
      <c r="J88" s="49">
        <f t="shared" si="6"/>
        <v>0.019</v>
      </c>
      <c r="K88" s="44">
        <f t="shared" si="7"/>
        <v>0.023</v>
      </c>
      <c r="L88" s="44">
        <f t="shared" si="8"/>
        <v>0.022</v>
      </c>
      <c r="M88" s="44">
        <f t="shared" si="9"/>
        <v>0.021</v>
      </c>
      <c r="N88" s="44">
        <f t="shared" si="10"/>
        <v>0.02</v>
      </c>
      <c r="O88" s="44">
        <f t="shared" si="11"/>
        <v>0.02</v>
      </c>
      <c r="P88" s="44">
        <f t="shared" si="12"/>
        <v>0.02</v>
      </c>
      <c r="Q88" s="44">
        <f t="shared" si="13"/>
        <v>0.022</v>
      </c>
      <c r="R88" s="44">
        <f t="shared" si="14"/>
        <v>0.02</v>
      </c>
      <c r="S88" s="44">
        <f t="shared" si="15"/>
        <v>0.02</v>
      </c>
      <c r="T88" s="44">
        <f t="shared" si="16"/>
        <v>0.019</v>
      </c>
      <c r="U88" s="44">
        <f t="shared" si="17"/>
        <v>0.02</v>
      </c>
      <c r="V88" s="43"/>
      <c r="W88" s="43"/>
      <c r="X88" s="43"/>
      <c r="Y88" s="43"/>
      <c r="Z88" s="43"/>
      <c r="AA88" s="43"/>
      <c r="AB88" s="43"/>
    </row>
    <row r="89">
      <c r="A89" s="43"/>
      <c r="B89" s="44">
        <v>29.0</v>
      </c>
      <c r="C89" s="12" t="s">
        <v>54</v>
      </c>
      <c r="D89" s="4" t="s">
        <v>23</v>
      </c>
      <c r="E89" s="44" t="s">
        <v>21</v>
      </c>
      <c r="F89" s="44">
        <v>2024.0</v>
      </c>
      <c r="G89" s="49">
        <f t="shared" si="3"/>
        <v>0.02</v>
      </c>
      <c r="H89" s="49">
        <f t="shared" si="4"/>
        <v>0.02</v>
      </c>
      <c r="I89" s="49">
        <f t="shared" si="5"/>
        <v>0.021</v>
      </c>
      <c r="J89" s="49">
        <f t="shared" si="6"/>
        <v>0.02</v>
      </c>
      <c r="K89" s="44">
        <f t="shared" si="7"/>
        <v>0.019</v>
      </c>
      <c r="L89" s="44">
        <f t="shared" si="8"/>
        <v>0.02</v>
      </c>
      <c r="M89" s="44">
        <f t="shared" si="9"/>
        <v>0.021</v>
      </c>
      <c r="N89" s="44">
        <f t="shared" si="10"/>
        <v>0.02</v>
      </c>
      <c r="O89" s="44">
        <f t="shared" si="11"/>
        <v>0.02</v>
      </c>
      <c r="P89" s="44">
        <f t="shared" si="12"/>
        <v>0.02</v>
      </c>
      <c r="Q89" s="44">
        <f t="shared" si="13"/>
        <v>0.019</v>
      </c>
      <c r="R89" s="44">
        <f t="shared" si="14"/>
        <v>0.02</v>
      </c>
      <c r="S89" s="44">
        <f t="shared" si="15"/>
        <v>0.02</v>
      </c>
      <c r="T89" s="44">
        <f t="shared" si="16"/>
        <v>0.02</v>
      </c>
      <c r="U89" s="44">
        <f t="shared" si="17"/>
        <v>0.02</v>
      </c>
      <c r="V89" s="43"/>
      <c r="W89" s="43"/>
      <c r="X89" s="43"/>
      <c r="Y89" s="43"/>
      <c r="Z89" s="43"/>
      <c r="AA89" s="43"/>
      <c r="AB89" s="43"/>
    </row>
    <row r="90">
      <c r="A90" s="43"/>
      <c r="B90" s="44">
        <v>30.0</v>
      </c>
      <c r="C90" s="12" t="s">
        <v>55</v>
      </c>
      <c r="D90" s="13" t="s">
        <v>18</v>
      </c>
      <c r="E90" s="44" t="s">
        <v>38</v>
      </c>
      <c r="F90" s="44">
        <v>2023.0</v>
      </c>
      <c r="G90" s="49">
        <f t="shared" si="3"/>
        <v>0.021</v>
      </c>
      <c r="H90" s="49">
        <f t="shared" si="4"/>
        <v>0.02</v>
      </c>
      <c r="I90" s="49">
        <f t="shared" si="5"/>
        <v>0.02</v>
      </c>
      <c r="J90" s="49">
        <f t="shared" si="6"/>
        <v>0.021</v>
      </c>
      <c r="K90" s="44">
        <f t="shared" si="7"/>
        <v>0.02</v>
      </c>
      <c r="L90" s="44">
        <f t="shared" si="8"/>
        <v>0.02</v>
      </c>
      <c r="M90" s="44">
        <f t="shared" si="9"/>
        <v>0.021</v>
      </c>
      <c r="N90" s="44">
        <f t="shared" si="10"/>
        <v>0.021</v>
      </c>
      <c r="O90" s="44">
        <f t="shared" si="11"/>
        <v>0.021</v>
      </c>
      <c r="P90" s="44">
        <f t="shared" si="12"/>
        <v>0.02</v>
      </c>
      <c r="Q90" s="44">
        <f t="shared" si="13"/>
        <v>0.019</v>
      </c>
      <c r="R90" s="44">
        <f t="shared" si="14"/>
        <v>0.02</v>
      </c>
      <c r="S90" s="44">
        <f t="shared" si="15"/>
        <v>0.021</v>
      </c>
      <c r="T90" s="44">
        <f t="shared" si="16"/>
        <v>0.02</v>
      </c>
      <c r="U90" s="44">
        <f t="shared" si="17"/>
        <v>0.021</v>
      </c>
      <c r="V90" s="43"/>
      <c r="W90" s="43"/>
      <c r="X90" s="43"/>
      <c r="Y90" s="43"/>
      <c r="Z90" s="43"/>
      <c r="AA90" s="43"/>
      <c r="AB90" s="43"/>
    </row>
    <row r="91">
      <c r="A91" s="43"/>
      <c r="B91" s="44">
        <v>31.0</v>
      </c>
      <c r="C91" s="12" t="s">
        <v>56</v>
      </c>
      <c r="D91" s="4" t="s">
        <v>23</v>
      </c>
      <c r="E91" s="44" t="s">
        <v>26</v>
      </c>
      <c r="F91" s="44">
        <v>2024.0</v>
      </c>
      <c r="G91" s="49">
        <f t="shared" si="3"/>
        <v>0.019</v>
      </c>
      <c r="H91" s="49">
        <f t="shared" si="4"/>
        <v>0.02</v>
      </c>
      <c r="I91" s="49">
        <f t="shared" si="5"/>
        <v>0.02</v>
      </c>
      <c r="J91" s="49">
        <f t="shared" si="6"/>
        <v>0.02</v>
      </c>
      <c r="K91" s="44">
        <f t="shared" si="7"/>
        <v>0.02</v>
      </c>
      <c r="L91" s="44">
        <f t="shared" si="8"/>
        <v>0.019</v>
      </c>
      <c r="M91" s="44">
        <f t="shared" si="9"/>
        <v>0.019</v>
      </c>
      <c r="N91" s="44">
        <f t="shared" si="10"/>
        <v>0.02</v>
      </c>
      <c r="O91" s="44">
        <f t="shared" si="11"/>
        <v>0.02</v>
      </c>
      <c r="P91" s="44">
        <f t="shared" si="12"/>
        <v>0.02</v>
      </c>
      <c r="Q91" s="44">
        <f t="shared" si="13"/>
        <v>0.019</v>
      </c>
      <c r="R91" s="44">
        <f t="shared" si="14"/>
        <v>0.02</v>
      </c>
      <c r="S91" s="44">
        <f t="shared" si="15"/>
        <v>0.02</v>
      </c>
      <c r="T91" s="44">
        <f t="shared" si="16"/>
        <v>0.02</v>
      </c>
      <c r="U91" s="44">
        <f t="shared" si="17"/>
        <v>0.021</v>
      </c>
      <c r="V91" s="43"/>
      <c r="W91" s="43"/>
      <c r="X91" s="43"/>
      <c r="Y91" s="43"/>
      <c r="Z91" s="43"/>
      <c r="AA91" s="43"/>
      <c r="AB91" s="43"/>
    </row>
    <row r="92">
      <c r="A92" s="43"/>
      <c r="B92" s="44">
        <v>32.0</v>
      </c>
      <c r="C92" s="12" t="s">
        <v>57</v>
      </c>
      <c r="D92" s="4" t="s">
        <v>23</v>
      </c>
      <c r="E92" s="44" t="s">
        <v>26</v>
      </c>
      <c r="F92" s="44">
        <v>2024.0</v>
      </c>
      <c r="G92" s="49">
        <f t="shared" si="3"/>
        <v>0.02</v>
      </c>
      <c r="H92" s="49">
        <f t="shared" si="4"/>
        <v>0.02</v>
      </c>
      <c r="I92" s="49">
        <f t="shared" si="5"/>
        <v>0.02</v>
      </c>
      <c r="J92" s="49">
        <f t="shared" si="6"/>
        <v>0.021</v>
      </c>
      <c r="K92" s="44">
        <f t="shared" si="7"/>
        <v>0.02</v>
      </c>
      <c r="L92" s="44">
        <f t="shared" si="8"/>
        <v>0.021</v>
      </c>
      <c r="M92" s="44">
        <f t="shared" si="9"/>
        <v>0.02</v>
      </c>
      <c r="N92" s="44">
        <f t="shared" si="10"/>
        <v>0.02</v>
      </c>
      <c r="O92" s="44">
        <f t="shared" si="11"/>
        <v>0.02</v>
      </c>
      <c r="P92" s="44">
        <f t="shared" si="12"/>
        <v>0.02</v>
      </c>
      <c r="Q92" s="44">
        <f t="shared" si="13"/>
        <v>0.019</v>
      </c>
      <c r="R92" s="44">
        <f t="shared" si="14"/>
        <v>0.02</v>
      </c>
      <c r="S92" s="44">
        <f t="shared" si="15"/>
        <v>0.021</v>
      </c>
      <c r="T92" s="44">
        <f t="shared" si="16"/>
        <v>0.021</v>
      </c>
      <c r="U92" s="44">
        <f t="shared" si="17"/>
        <v>0.021</v>
      </c>
      <c r="V92" s="43"/>
      <c r="W92" s="43"/>
      <c r="X92" s="43"/>
      <c r="Y92" s="43"/>
      <c r="Z92" s="43"/>
      <c r="AA92" s="43"/>
      <c r="AB92" s="43"/>
    </row>
    <row r="93">
      <c r="A93" s="43"/>
      <c r="B93" s="44">
        <v>33.0</v>
      </c>
      <c r="C93" s="12" t="s">
        <v>58</v>
      </c>
      <c r="D93" s="4" t="s">
        <v>18</v>
      </c>
      <c r="E93" s="44" t="s">
        <v>38</v>
      </c>
      <c r="F93" s="44">
        <v>2023.0</v>
      </c>
      <c r="G93" s="49">
        <f t="shared" si="3"/>
        <v>0.021</v>
      </c>
      <c r="H93" s="49">
        <f t="shared" si="4"/>
        <v>0.02</v>
      </c>
      <c r="I93" s="49">
        <f t="shared" si="5"/>
        <v>0.021</v>
      </c>
      <c r="J93" s="49">
        <f t="shared" si="6"/>
        <v>0.021</v>
      </c>
      <c r="K93" s="44">
        <f t="shared" si="7"/>
        <v>0.023</v>
      </c>
      <c r="L93" s="44">
        <f t="shared" si="8"/>
        <v>0.022</v>
      </c>
      <c r="M93" s="44">
        <f t="shared" si="9"/>
        <v>0.021</v>
      </c>
      <c r="N93" s="44">
        <f t="shared" si="10"/>
        <v>0.02</v>
      </c>
      <c r="O93" s="44">
        <f t="shared" si="11"/>
        <v>0.021</v>
      </c>
      <c r="P93" s="44">
        <f t="shared" si="12"/>
        <v>0.021</v>
      </c>
      <c r="Q93" s="44">
        <f t="shared" si="13"/>
        <v>0.019</v>
      </c>
      <c r="R93" s="44">
        <f t="shared" si="14"/>
        <v>0.021</v>
      </c>
      <c r="S93" s="44">
        <f t="shared" si="15"/>
        <v>0.02</v>
      </c>
      <c r="T93" s="44">
        <f t="shared" si="16"/>
        <v>0.02</v>
      </c>
      <c r="U93" s="44">
        <f t="shared" si="17"/>
        <v>0.02</v>
      </c>
      <c r="V93" s="43"/>
      <c r="W93" s="43"/>
      <c r="X93" s="43"/>
      <c r="Y93" s="43"/>
      <c r="Z93" s="43"/>
      <c r="AA93" s="43"/>
      <c r="AB93" s="43"/>
    </row>
    <row r="94">
      <c r="A94" s="43"/>
      <c r="B94" s="44">
        <v>34.0</v>
      </c>
      <c r="C94" s="12" t="s">
        <v>59</v>
      </c>
      <c r="D94" s="4" t="s">
        <v>23</v>
      </c>
      <c r="E94" s="44" t="s">
        <v>29</v>
      </c>
      <c r="F94" s="44">
        <v>2023.0</v>
      </c>
      <c r="G94" s="49">
        <f t="shared" si="3"/>
        <v>0.02</v>
      </c>
      <c r="H94" s="49">
        <f t="shared" si="4"/>
        <v>0.02</v>
      </c>
      <c r="I94" s="49">
        <f t="shared" si="5"/>
        <v>0.02</v>
      </c>
      <c r="J94" s="49">
        <f t="shared" si="6"/>
        <v>0.02</v>
      </c>
      <c r="K94" s="44">
        <f t="shared" si="7"/>
        <v>0.02</v>
      </c>
      <c r="L94" s="44">
        <f t="shared" si="8"/>
        <v>0.019</v>
      </c>
      <c r="M94" s="44">
        <f t="shared" si="9"/>
        <v>0.021</v>
      </c>
      <c r="N94" s="44">
        <f t="shared" si="10"/>
        <v>0.021</v>
      </c>
      <c r="O94" s="44">
        <f t="shared" si="11"/>
        <v>0.021</v>
      </c>
      <c r="P94" s="44">
        <f t="shared" si="12"/>
        <v>0.021</v>
      </c>
      <c r="Q94" s="44">
        <f t="shared" si="13"/>
        <v>0.019</v>
      </c>
      <c r="R94" s="44">
        <f t="shared" si="14"/>
        <v>0.021</v>
      </c>
      <c r="S94" s="44">
        <f t="shared" si="15"/>
        <v>0.021</v>
      </c>
      <c r="T94" s="44">
        <f t="shared" si="16"/>
        <v>0.02</v>
      </c>
      <c r="U94" s="44">
        <f t="shared" si="17"/>
        <v>0.02</v>
      </c>
      <c r="V94" s="43"/>
      <c r="W94" s="43"/>
      <c r="X94" s="43"/>
      <c r="Y94" s="43"/>
      <c r="Z94" s="43"/>
      <c r="AA94" s="43"/>
      <c r="AB94" s="43"/>
    </row>
    <row r="95">
      <c r="A95" s="43"/>
      <c r="B95" s="44">
        <v>35.0</v>
      </c>
      <c r="C95" s="12" t="s">
        <v>60</v>
      </c>
      <c r="D95" s="13" t="s">
        <v>18</v>
      </c>
      <c r="E95" s="44" t="s">
        <v>19</v>
      </c>
      <c r="F95" s="44">
        <v>2024.0</v>
      </c>
      <c r="G95" s="49">
        <f t="shared" si="3"/>
        <v>0.021</v>
      </c>
      <c r="H95" s="49">
        <f t="shared" si="4"/>
        <v>0.021</v>
      </c>
      <c r="I95" s="49">
        <f t="shared" si="5"/>
        <v>0.021</v>
      </c>
      <c r="J95" s="49">
        <f t="shared" si="6"/>
        <v>0.021</v>
      </c>
      <c r="K95" s="44">
        <f t="shared" si="7"/>
        <v>0.021</v>
      </c>
      <c r="L95" s="44">
        <f t="shared" si="8"/>
        <v>0.021</v>
      </c>
      <c r="M95" s="44">
        <f t="shared" si="9"/>
        <v>0.021</v>
      </c>
      <c r="N95" s="44">
        <f t="shared" si="10"/>
        <v>0.02</v>
      </c>
      <c r="O95" s="44">
        <f t="shared" si="11"/>
        <v>0.02</v>
      </c>
      <c r="P95" s="44">
        <f t="shared" si="12"/>
        <v>0.021</v>
      </c>
      <c r="Q95" s="44">
        <f t="shared" si="13"/>
        <v>0.022</v>
      </c>
      <c r="R95" s="44">
        <f t="shared" si="14"/>
        <v>0.021</v>
      </c>
      <c r="S95" s="44">
        <f t="shared" si="15"/>
        <v>0.022</v>
      </c>
      <c r="T95" s="44">
        <f t="shared" si="16"/>
        <v>0.022</v>
      </c>
      <c r="U95" s="44">
        <f t="shared" si="17"/>
        <v>0.021</v>
      </c>
      <c r="V95" s="43"/>
      <c r="W95" s="43"/>
      <c r="X95" s="43"/>
      <c r="Y95" s="43"/>
      <c r="Z95" s="43"/>
      <c r="AA95" s="43"/>
      <c r="AB95" s="43"/>
    </row>
    <row r="96">
      <c r="A96" s="43"/>
      <c r="B96" s="44">
        <v>36.0</v>
      </c>
      <c r="C96" s="12" t="s">
        <v>61</v>
      </c>
      <c r="D96" s="4" t="s">
        <v>23</v>
      </c>
      <c r="E96" s="44" t="s">
        <v>24</v>
      </c>
      <c r="F96" s="44">
        <v>2024.0</v>
      </c>
      <c r="G96" s="49">
        <f t="shared" si="3"/>
        <v>0.02</v>
      </c>
      <c r="H96" s="49">
        <f t="shared" si="4"/>
        <v>0.02</v>
      </c>
      <c r="I96" s="49">
        <f t="shared" si="5"/>
        <v>0.02</v>
      </c>
      <c r="J96" s="49">
        <f t="shared" si="6"/>
        <v>0.02</v>
      </c>
      <c r="K96" s="44">
        <f t="shared" si="7"/>
        <v>0.02</v>
      </c>
      <c r="L96" s="44">
        <f t="shared" si="8"/>
        <v>0.02</v>
      </c>
      <c r="M96" s="44">
        <f t="shared" si="9"/>
        <v>0.021</v>
      </c>
      <c r="N96" s="44">
        <f t="shared" si="10"/>
        <v>0.02</v>
      </c>
      <c r="O96" s="44">
        <f t="shared" si="11"/>
        <v>0.02</v>
      </c>
      <c r="P96" s="44">
        <f t="shared" si="12"/>
        <v>0.02</v>
      </c>
      <c r="Q96" s="44">
        <f t="shared" si="13"/>
        <v>0.019</v>
      </c>
      <c r="R96" s="44">
        <f t="shared" si="14"/>
        <v>0.02</v>
      </c>
      <c r="S96" s="44">
        <f t="shared" si="15"/>
        <v>0.02</v>
      </c>
      <c r="T96" s="44">
        <f t="shared" si="16"/>
        <v>0.021</v>
      </c>
      <c r="U96" s="44">
        <f t="shared" si="17"/>
        <v>0.02</v>
      </c>
      <c r="V96" s="43"/>
      <c r="W96" s="43"/>
      <c r="X96" s="43"/>
      <c r="Y96" s="43"/>
      <c r="Z96" s="43"/>
      <c r="AA96" s="43"/>
      <c r="AB96" s="43"/>
    </row>
    <row r="97">
      <c r="A97" s="43"/>
      <c r="B97" s="44">
        <v>37.0</v>
      </c>
      <c r="C97" s="12" t="s">
        <v>62</v>
      </c>
      <c r="D97" s="4" t="s">
        <v>18</v>
      </c>
      <c r="E97" s="44" t="s">
        <v>38</v>
      </c>
      <c r="F97" s="44">
        <v>2023.0</v>
      </c>
      <c r="G97" s="49">
        <f t="shared" si="3"/>
        <v>0.02</v>
      </c>
      <c r="H97" s="49">
        <f t="shared" si="4"/>
        <v>0.018</v>
      </c>
      <c r="I97" s="49">
        <f t="shared" si="5"/>
        <v>0.02</v>
      </c>
      <c r="J97" s="49">
        <f t="shared" si="6"/>
        <v>0.019</v>
      </c>
      <c r="K97" s="44">
        <f t="shared" si="7"/>
        <v>0.02</v>
      </c>
      <c r="L97" s="44">
        <f t="shared" si="8"/>
        <v>0.022</v>
      </c>
      <c r="M97" s="44">
        <f t="shared" si="9"/>
        <v>0.019</v>
      </c>
      <c r="N97" s="44">
        <f t="shared" si="10"/>
        <v>0.019</v>
      </c>
      <c r="O97" s="44">
        <f t="shared" si="11"/>
        <v>0.02</v>
      </c>
      <c r="P97" s="44">
        <f t="shared" si="12"/>
        <v>0.021</v>
      </c>
      <c r="Q97" s="44">
        <f t="shared" si="13"/>
        <v>0.019</v>
      </c>
      <c r="R97" s="44">
        <f t="shared" si="14"/>
        <v>0.021</v>
      </c>
      <c r="S97" s="44">
        <f t="shared" si="15"/>
        <v>0.02</v>
      </c>
      <c r="T97" s="44">
        <f t="shared" si="16"/>
        <v>0.017</v>
      </c>
      <c r="U97" s="44">
        <f t="shared" si="17"/>
        <v>0.02</v>
      </c>
      <c r="V97" s="43"/>
      <c r="W97" s="43"/>
      <c r="X97" s="43"/>
      <c r="Y97" s="43"/>
      <c r="Z97" s="43"/>
      <c r="AA97" s="43"/>
      <c r="AB97" s="43"/>
    </row>
    <row r="98">
      <c r="A98" s="43"/>
      <c r="B98" s="44">
        <v>38.0</v>
      </c>
      <c r="C98" s="12" t="s">
        <v>63</v>
      </c>
      <c r="D98" s="4" t="s">
        <v>23</v>
      </c>
      <c r="E98" s="44" t="s">
        <v>19</v>
      </c>
      <c r="F98" s="44">
        <v>2024.0</v>
      </c>
      <c r="G98" s="49">
        <f t="shared" si="3"/>
        <v>0.021</v>
      </c>
      <c r="H98" s="49">
        <f t="shared" si="4"/>
        <v>0.02</v>
      </c>
      <c r="I98" s="49">
        <f t="shared" si="5"/>
        <v>0.02</v>
      </c>
      <c r="J98" s="49">
        <f t="shared" si="6"/>
        <v>0.02</v>
      </c>
      <c r="K98" s="44">
        <f t="shared" si="7"/>
        <v>0.02</v>
      </c>
      <c r="L98" s="44">
        <f t="shared" si="8"/>
        <v>0.02</v>
      </c>
      <c r="M98" s="44">
        <f t="shared" si="9"/>
        <v>0.021</v>
      </c>
      <c r="N98" s="44">
        <f t="shared" si="10"/>
        <v>0.021</v>
      </c>
      <c r="O98" s="44">
        <f t="shared" si="11"/>
        <v>0.02</v>
      </c>
      <c r="P98" s="44">
        <f t="shared" si="12"/>
        <v>0.021</v>
      </c>
      <c r="Q98" s="44">
        <f t="shared" si="13"/>
        <v>0.022</v>
      </c>
      <c r="R98" s="44">
        <f t="shared" si="14"/>
        <v>0.021</v>
      </c>
      <c r="S98" s="44">
        <f t="shared" si="15"/>
        <v>0.021</v>
      </c>
      <c r="T98" s="44">
        <f t="shared" si="16"/>
        <v>0.02</v>
      </c>
      <c r="U98" s="44">
        <f t="shared" si="17"/>
        <v>0.021</v>
      </c>
      <c r="V98" s="43"/>
      <c r="W98" s="43"/>
      <c r="X98" s="43"/>
      <c r="Y98" s="43"/>
      <c r="Z98" s="43"/>
      <c r="AA98" s="43"/>
      <c r="AB98" s="43"/>
    </row>
    <row r="99">
      <c r="A99" s="43"/>
      <c r="B99" s="44">
        <v>39.0</v>
      </c>
      <c r="C99" s="12" t="s">
        <v>64</v>
      </c>
      <c r="D99" s="13" t="s">
        <v>18</v>
      </c>
      <c r="E99" s="44" t="s">
        <v>19</v>
      </c>
      <c r="F99" s="44">
        <v>2024.0</v>
      </c>
      <c r="G99" s="49">
        <f t="shared" si="3"/>
        <v>0.021</v>
      </c>
      <c r="H99" s="49">
        <f t="shared" si="4"/>
        <v>0.021</v>
      </c>
      <c r="I99" s="49">
        <f t="shared" si="5"/>
        <v>0.02</v>
      </c>
      <c r="J99" s="49">
        <f t="shared" si="6"/>
        <v>0.021</v>
      </c>
      <c r="K99" s="44">
        <f t="shared" si="7"/>
        <v>0.021</v>
      </c>
      <c r="L99" s="44">
        <f t="shared" si="8"/>
        <v>0.021</v>
      </c>
      <c r="M99" s="44">
        <f t="shared" si="9"/>
        <v>0.021</v>
      </c>
      <c r="N99" s="44">
        <f t="shared" si="10"/>
        <v>0.02</v>
      </c>
      <c r="O99" s="44">
        <f t="shared" si="11"/>
        <v>0.02</v>
      </c>
      <c r="P99" s="44">
        <f t="shared" si="12"/>
        <v>0.021</v>
      </c>
      <c r="Q99" s="44">
        <f t="shared" si="13"/>
        <v>0.025</v>
      </c>
      <c r="R99" s="44">
        <f t="shared" si="14"/>
        <v>0.021</v>
      </c>
      <c r="S99" s="44">
        <f t="shared" si="15"/>
        <v>0.02</v>
      </c>
      <c r="T99" s="44">
        <f t="shared" si="16"/>
        <v>0.021</v>
      </c>
      <c r="U99" s="44">
        <f t="shared" si="17"/>
        <v>0.021</v>
      </c>
      <c r="V99" s="43"/>
      <c r="W99" s="43"/>
      <c r="X99" s="43"/>
      <c r="Y99" s="43"/>
      <c r="Z99" s="43"/>
      <c r="AA99" s="43"/>
      <c r="AB99" s="43"/>
    </row>
    <row r="100">
      <c r="A100" s="43"/>
      <c r="B100" s="44">
        <v>40.0</v>
      </c>
      <c r="C100" s="12" t="s">
        <v>65</v>
      </c>
      <c r="D100" s="4" t="s">
        <v>23</v>
      </c>
      <c r="E100" s="44" t="s">
        <v>19</v>
      </c>
      <c r="F100" s="44">
        <v>2024.0</v>
      </c>
      <c r="G100" s="49">
        <f t="shared" si="3"/>
        <v>0.021</v>
      </c>
      <c r="H100" s="49">
        <f t="shared" si="4"/>
        <v>0.021</v>
      </c>
      <c r="I100" s="49">
        <f t="shared" si="5"/>
        <v>0.021</v>
      </c>
      <c r="J100" s="49">
        <f t="shared" si="6"/>
        <v>0.02</v>
      </c>
      <c r="K100" s="44">
        <f t="shared" si="7"/>
        <v>0.021</v>
      </c>
      <c r="L100" s="44">
        <f t="shared" si="8"/>
        <v>0.021</v>
      </c>
      <c r="M100" s="44">
        <f t="shared" si="9"/>
        <v>0.021</v>
      </c>
      <c r="N100" s="44">
        <f t="shared" si="10"/>
        <v>0.021</v>
      </c>
      <c r="O100" s="44">
        <f t="shared" si="11"/>
        <v>0.021</v>
      </c>
      <c r="P100" s="44">
        <f t="shared" si="12"/>
        <v>0.021</v>
      </c>
      <c r="Q100" s="44">
        <f t="shared" si="13"/>
        <v>0.025</v>
      </c>
      <c r="R100" s="44">
        <f t="shared" si="14"/>
        <v>0.021</v>
      </c>
      <c r="S100" s="44">
        <f t="shared" si="15"/>
        <v>0.021</v>
      </c>
      <c r="T100" s="44">
        <f t="shared" si="16"/>
        <v>0.021</v>
      </c>
      <c r="U100" s="44">
        <f t="shared" si="17"/>
        <v>0.021</v>
      </c>
      <c r="V100" s="43"/>
      <c r="W100" s="43"/>
      <c r="X100" s="43"/>
      <c r="Y100" s="43"/>
      <c r="Z100" s="43"/>
      <c r="AA100" s="43"/>
      <c r="AB100" s="43"/>
    </row>
    <row r="101">
      <c r="A101" s="43"/>
      <c r="B101" s="44">
        <v>41.0</v>
      </c>
      <c r="C101" s="12" t="s">
        <v>66</v>
      </c>
      <c r="D101" s="13" t="s">
        <v>18</v>
      </c>
      <c r="E101" s="44" t="s">
        <v>19</v>
      </c>
      <c r="F101" s="44">
        <v>2024.0</v>
      </c>
      <c r="G101" s="49">
        <f t="shared" si="3"/>
        <v>0.021</v>
      </c>
      <c r="H101" s="49">
        <f t="shared" si="4"/>
        <v>0.02</v>
      </c>
      <c r="I101" s="49">
        <f t="shared" si="5"/>
        <v>0.02</v>
      </c>
      <c r="J101" s="49">
        <f t="shared" si="6"/>
        <v>0.02</v>
      </c>
      <c r="K101" s="44">
        <f t="shared" si="7"/>
        <v>0.02</v>
      </c>
      <c r="L101" s="44">
        <f t="shared" si="8"/>
        <v>0.02</v>
      </c>
      <c r="M101" s="44">
        <f t="shared" si="9"/>
        <v>0.021</v>
      </c>
      <c r="N101" s="44">
        <f t="shared" si="10"/>
        <v>0.021</v>
      </c>
      <c r="O101" s="44">
        <f t="shared" si="11"/>
        <v>0.021</v>
      </c>
      <c r="P101" s="44">
        <f t="shared" si="12"/>
        <v>0.021</v>
      </c>
      <c r="Q101" s="44">
        <f t="shared" si="13"/>
        <v>0.019</v>
      </c>
      <c r="R101" s="44">
        <f t="shared" si="14"/>
        <v>0.021</v>
      </c>
      <c r="S101" s="44">
        <f t="shared" si="15"/>
        <v>0.021</v>
      </c>
      <c r="T101" s="44">
        <f t="shared" si="16"/>
        <v>0.02</v>
      </c>
      <c r="U101" s="44">
        <f t="shared" si="17"/>
        <v>0.021</v>
      </c>
      <c r="V101" s="43"/>
      <c r="W101" s="43"/>
      <c r="X101" s="43"/>
      <c r="Y101" s="43"/>
      <c r="Z101" s="43"/>
      <c r="AA101" s="43"/>
      <c r="AB101" s="43"/>
    </row>
    <row r="102">
      <c r="A102" s="43"/>
      <c r="B102" s="44">
        <v>42.0</v>
      </c>
      <c r="C102" s="12" t="s">
        <v>67</v>
      </c>
      <c r="D102" s="4" t="s">
        <v>23</v>
      </c>
      <c r="E102" s="44" t="s">
        <v>19</v>
      </c>
      <c r="F102" s="44">
        <v>2024.0</v>
      </c>
      <c r="G102" s="49">
        <f t="shared" si="3"/>
        <v>0.021</v>
      </c>
      <c r="H102" s="49">
        <f t="shared" si="4"/>
        <v>0.02</v>
      </c>
      <c r="I102" s="49">
        <f t="shared" si="5"/>
        <v>0.02</v>
      </c>
      <c r="J102" s="49">
        <f t="shared" si="6"/>
        <v>0.021</v>
      </c>
      <c r="K102" s="44">
        <f t="shared" si="7"/>
        <v>0.02</v>
      </c>
      <c r="L102" s="44">
        <f t="shared" si="8"/>
        <v>0.019</v>
      </c>
      <c r="M102" s="44">
        <f t="shared" si="9"/>
        <v>0.022</v>
      </c>
      <c r="N102" s="44">
        <f t="shared" si="10"/>
        <v>0.021</v>
      </c>
      <c r="O102" s="44">
        <f t="shared" si="11"/>
        <v>0.021</v>
      </c>
      <c r="P102" s="44">
        <f t="shared" si="12"/>
        <v>0.02</v>
      </c>
      <c r="Q102" s="44">
        <f t="shared" si="13"/>
        <v>0.019</v>
      </c>
      <c r="R102" s="44">
        <f t="shared" si="14"/>
        <v>0.02</v>
      </c>
      <c r="S102" s="44">
        <f t="shared" si="15"/>
        <v>0.02</v>
      </c>
      <c r="T102" s="44">
        <f t="shared" si="16"/>
        <v>0.02</v>
      </c>
      <c r="U102" s="44">
        <f t="shared" si="17"/>
        <v>0.021</v>
      </c>
      <c r="V102" s="43"/>
      <c r="W102" s="43"/>
      <c r="X102" s="43"/>
      <c r="Y102" s="43"/>
      <c r="Z102" s="43"/>
      <c r="AA102" s="43"/>
      <c r="AB102" s="43"/>
    </row>
    <row r="103">
      <c r="A103" s="43"/>
      <c r="B103" s="44">
        <v>43.0</v>
      </c>
      <c r="C103" s="12" t="s">
        <v>68</v>
      </c>
      <c r="D103" s="13" t="s">
        <v>18</v>
      </c>
      <c r="E103" s="44" t="s">
        <v>19</v>
      </c>
      <c r="F103" s="44">
        <v>2024.0</v>
      </c>
      <c r="G103" s="49">
        <f t="shared" si="3"/>
        <v>0.021</v>
      </c>
      <c r="H103" s="49">
        <f t="shared" si="4"/>
        <v>0.021</v>
      </c>
      <c r="I103" s="49">
        <f t="shared" si="5"/>
        <v>0.021</v>
      </c>
      <c r="J103" s="49">
        <f t="shared" si="6"/>
        <v>0.021</v>
      </c>
      <c r="K103" s="44">
        <f t="shared" si="7"/>
        <v>0.021</v>
      </c>
      <c r="L103" s="44">
        <f t="shared" si="8"/>
        <v>0.02</v>
      </c>
      <c r="M103" s="44">
        <f t="shared" si="9"/>
        <v>0.02</v>
      </c>
      <c r="N103" s="44">
        <f t="shared" si="10"/>
        <v>0.02</v>
      </c>
      <c r="O103" s="44">
        <f t="shared" si="11"/>
        <v>0.021</v>
      </c>
      <c r="P103" s="44">
        <f t="shared" si="12"/>
        <v>0.021</v>
      </c>
      <c r="Q103" s="44">
        <f t="shared" si="13"/>
        <v>0.019</v>
      </c>
      <c r="R103" s="44">
        <f t="shared" si="14"/>
        <v>0.021</v>
      </c>
      <c r="S103" s="44">
        <f t="shared" si="15"/>
        <v>0.021</v>
      </c>
      <c r="T103" s="44">
        <f t="shared" si="16"/>
        <v>0.021</v>
      </c>
      <c r="U103" s="44">
        <f t="shared" si="17"/>
        <v>0.021</v>
      </c>
      <c r="V103" s="43"/>
      <c r="W103" s="43"/>
      <c r="X103" s="43"/>
      <c r="Y103" s="43"/>
      <c r="Z103" s="43"/>
      <c r="AA103" s="43"/>
      <c r="AB103" s="43"/>
    </row>
    <row r="104">
      <c r="A104" s="43"/>
      <c r="B104" s="44">
        <v>44.0</v>
      </c>
      <c r="C104" s="12" t="s">
        <v>69</v>
      </c>
      <c r="D104" s="4" t="s">
        <v>23</v>
      </c>
      <c r="E104" s="44" t="s">
        <v>19</v>
      </c>
      <c r="F104" s="44">
        <v>2024.0</v>
      </c>
      <c r="G104" s="49">
        <f t="shared" si="3"/>
        <v>0.02</v>
      </c>
      <c r="H104" s="49">
        <f t="shared" si="4"/>
        <v>0.02</v>
      </c>
      <c r="I104" s="49">
        <f t="shared" si="5"/>
        <v>0.02</v>
      </c>
      <c r="J104" s="49">
        <f t="shared" si="6"/>
        <v>0.021</v>
      </c>
      <c r="K104" s="44">
        <f t="shared" si="7"/>
        <v>0.02</v>
      </c>
      <c r="L104" s="44">
        <f t="shared" si="8"/>
        <v>0.021</v>
      </c>
      <c r="M104" s="44">
        <f t="shared" si="9"/>
        <v>0.02</v>
      </c>
      <c r="N104" s="44">
        <f t="shared" si="10"/>
        <v>0.02</v>
      </c>
      <c r="O104" s="44">
        <f t="shared" si="11"/>
        <v>0.02</v>
      </c>
      <c r="P104" s="44">
        <f t="shared" si="12"/>
        <v>0.021</v>
      </c>
      <c r="Q104" s="44">
        <f t="shared" si="13"/>
        <v>0.019</v>
      </c>
      <c r="R104" s="44">
        <f t="shared" si="14"/>
        <v>0.021</v>
      </c>
      <c r="S104" s="44">
        <f t="shared" si="15"/>
        <v>0.02</v>
      </c>
      <c r="T104" s="44">
        <f t="shared" si="16"/>
        <v>0.02</v>
      </c>
      <c r="U104" s="44">
        <f t="shared" si="17"/>
        <v>0.02</v>
      </c>
      <c r="V104" s="43"/>
      <c r="W104" s="43"/>
      <c r="X104" s="43"/>
      <c r="Y104" s="43"/>
      <c r="Z104" s="43"/>
      <c r="AA104" s="43"/>
      <c r="AB104" s="43"/>
    </row>
    <row r="105">
      <c r="A105" s="43"/>
      <c r="B105" s="44">
        <v>45.0</v>
      </c>
      <c r="C105" s="12" t="s">
        <v>70</v>
      </c>
      <c r="D105" s="13" t="s">
        <v>18</v>
      </c>
      <c r="E105" s="44" t="s">
        <v>19</v>
      </c>
      <c r="F105" s="44">
        <v>2023.0</v>
      </c>
      <c r="G105" s="49">
        <f t="shared" si="3"/>
        <v>0.021</v>
      </c>
      <c r="H105" s="49">
        <f t="shared" si="4"/>
        <v>0.021</v>
      </c>
      <c r="I105" s="49">
        <f t="shared" si="5"/>
        <v>0.021</v>
      </c>
      <c r="J105" s="49">
        <f t="shared" si="6"/>
        <v>0.021</v>
      </c>
      <c r="K105" s="44">
        <f t="shared" si="7"/>
        <v>0.021</v>
      </c>
      <c r="L105" s="44">
        <f t="shared" si="8"/>
        <v>0.021</v>
      </c>
      <c r="M105" s="44">
        <f t="shared" si="9"/>
        <v>0.018</v>
      </c>
      <c r="N105" s="44">
        <f t="shared" si="10"/>
        <v>0.022</v>
      </c>
      <c r="O105" s="44">
        <f t="shared" si="11"/>
        <v>0.021</v>
      </c>
      <c r="P105" s="44">
        <f t="shared" si="12"/>
        <v>0.021</v>
      </c>
      <c r="Q105" s="44">
        <f t="shared" si="13"/>
        <v>0.019</v>
      </c>
      <c r="R105" s="44">
        <f t="shared" si="14"/>
        <v>0.021</v>
      </c>
      <c r="S105" s="44">
        <f t="shared" si="15"/>
        <v>0.022</v>
      </c>
      <c r="T105" s="44">
        <f t="shared" si="16"/>
        <v>0.021</v>
      </c>
      <c r="U105" s="44">
        <f t="shared" si="17"/>
        <v>0.021</v>
      </c>
      <c r="V105" s="43"/>
      <c r="W105" s="43"/>
      <c r="X105" s="43"/>
      <c r="Y105" s="43"/>
      <c r="Z105" s="43"/>
      <c r="AA105" s="43"/>
      <c r="AB105" s="43"/>
    </row>
    <row r="106">
      <c r="A106" s="43"/>
      <c r="B106" s="44">
        <v>46.0</v>
      </c>
      <c r="C106" s="12" t="s">
        <v>71</v>
      </c>
      <c r="D106" s="13" t="s">
        <v>23</v>
      </c>
      <c r="E106" s="44" t="s">
        <v>19</v>
      </c>
      <c r="F106" s="44">
        <v>2024.0</v>
      </c>
      <c r="G106" s="49">
        <f t="shared" si="3"/>
        <v>0.021</v>
      </c>
      <c r="H106" s="49">
        <f t="shared" si="4"/>
        <v>0.021</v>
      </c>
      <c r="I106" s="49">
        <f t="shared" si="5"/>
        <v>0.021</v>
      </c>
      <c r="J106" s="49">
        <f t="shared" si="6"/>
        <v>0.021</v>
      </c>
      <c r="K106" s="44">
        <f t="shared" si="7"/>
        <v>0.021</v>
      </c>
      <c r="L106" s="44">
        <f t="shared" si="8"/>
        <v>0.022</v>
      </c>
      <c r="M106" s="44">
        <f t="shared" si="9"/>
        <v>0.021</v>
      </c>
      <c r="N106" s="44">
        <f t="shared" si="10"/>
        <v>0.02</v>
      </c>
      <c r="O106" s="44">
        <f t="shared" si="11"/>
        <v>0.021</v>
      </c>
      <c r="P106" s="44">
        <f t="shared" si="12"/>
        <v>0.021</v>
      </c>
      <c r="Q106" s="44">
        <f t="shared" si="13"/>
        <v>0.019</v>
      </c>
      <c r="R106" s="44">
        <f t="shared" si="14"/>
        <v>0.021</v>
      </c>
      <c r="S106" s="44">
        <f t="shared" si="15"/>
        <v>0.02</v>
      </c>
      <c r="T106" s="44">
        <f t="shared" si="16"/>
        <v>0.021</v>
      </c>
      <c r="U106" s="44">
        <f t="shared" si="17"/>
        <v>0.021</v>
      </c>
      <c r="V106" s="43"/>
      <c r="W106" s="43"/>
      <c r="X106" s="43"/>
      <c r="Y106" s="43"/>
      <c r="Z106" s="43"/>
      <c r="AA106" s="43"/>
      <c r="AB106" s="43"/>
    </row>
    <row r="107">
      <c r="A107" s="43"/>
      <c r="B107" s="44">
        <v>47.0</v>
      </c>
      <c r="C107" s="12" t="s">
        <v>72</v>
      </c>
      <c r="D107" s="13" t="s">
        <v>18</v>
      </c>
      <c r="E107" s="44" t="s">
        <v>19</v>
      </c>
      <c r="F107" s="44">
        <v>2024.0</v>
      </c>
      <c r="G107" s="49">
        <f t="shared" si="3"/>
        <v>0.02</v>
      </c>
      <c r="H107" s="49">
        <f t="shared" si="4"/>
        <v>0.021</v>
      </c>
      <c r="I107" s="49">
        <f t="shared" si="5"/>
        <v>0.021</v>
      </c>
      <c r="J107" s="49">
        <f t="shared" si="6"/>
        <v>0.021</v>
      </c>
      <c r="K107" s="44">
        <f t="shared" si="7"/>
        <v>0.02</v>
      </c>
      <c r="L107" s="44">
        <f t="shared" si="8"/>
        <v>0.021</v>
      </c>
      <c r="M107" s="44">
        <f t="shared" si="9"/>
        <v>0.02</v>
      </c>
      <c r="N107" s="44">
        <f t="shared" si="10"/>
        <v>0.021</v>
      </c>
      <c r="O107" s="44">
        <f t="shared" si="11"/>
        <v>0.021</v>
      </c>
      <c r="P107" s="44">
        <f t="shared" si="12"/>
        <v>0.021</v>
      </c>
      <c r="Q107" s="44">
        <f t="shared" si="13"/>
        <v>0.019</v>
      </c>
      <c r="R107" s="44">
        <f t="shared" si="14"/>
        <v>0.021</v>
      </c>
      <c r="S107" s="44">
        <f t="shared" si="15"/>
        <v>0.021</v>
      </c>
      <c r="T107" s="44">
        <f t="shared" si="16"/>
        <v>0.021</v>
      </c>
      <c r="U107" s="44">
        <f t="shared" si="17"/>
        <v>0.021</v>
      </c>
      <c r="V107" s="43"/>
      <c r="W107" s="43"/>
      <c r="X107" s="43"/>
      <c r="Y107" s="43"/>
      <c r="Z107" s="43"/>
      <c r="AA107" s="43"/>
      <c r="AB107" s="43"/>
    </row>
    <row r="108">
      <c r="A108" s="43"/>
      <c r="B108" s="44">
        <v>48.0</v>
      </c>
      <c r="C108" s="12" t="s">
        <v>73</v>
      </c>
      <c r="D108" s="4" t="s">
        <v>23</v>
      </c>
      <c r="E108" s="44" t="s">
        <v>19</v>
      </c>
      <c r="F108" s="44">
        <v>2023.0</v>
      </c>
      <c r="G108" s="49">
        <f t="shared" si="3"/>
        <v>0.021</v>
      </c>
      <c r="H108" s="49">
        <f t="shared" si="4"/>
        <v>0.021</v>
      </c>
      <c r="I108" s="49">
        <f t="shared" si="5"/>
        <v>0.021</v>
      </c>
      <c r="J108" s="49">
        <f t="shared" si="6"/>
        <v>0.021</v>
      </c>
      <c r="K108" s="44">
        <f t="shared" si="7"/>
        <v>0.021</v>
      </c>
      <c r="L108" s="44">
        <f t="shared" si="8"/>
        <v>0.022</v>
      </c>
      <c r="M108" s="44">
        <f t="shared" si="9"/>
        <v>0.021</v>
      </c>
      <c r="N108" s="44">
        <f t="shared" si="10"/>
        <v>0.02</v>
      </c>
      <c r="O108" s="44">
        <f t="shared" si="11"/>
        <v>0.021</v>
      </c>
      <c r="P108" s="44">
        <f t="shared" si="12"/>
        <v>0.021</v>
      </c>
      <c r="Q108" s="44">
        <f t="shared" si="13"/>
        <v>0.025</v>
      </c>
      <c r="R108" s="44">
        <f t="shared" si="14"/>
        <v>0.021</v>
      </c>
      <c r="S108" s="44">
        <f t="shared" si="15"/>
        <v>0.022</v>
      </c>
      <c r="T108" s="44">
        <f t="shared" si="16"/>
        <v>0.021</v>
      </c>
      <c r="U108" s="44">
        <f t="shared" si="17"/>
        <v>0.021</v>
      </c>
      <c r="V108" s="43"/>
      <c r="W108" s="43"/>
      <c r="X108" s="43"/>
      <c r="Y108" s="43"/>
      <c r="Z108" s="43"/>
      <c r="AA108" s="43"/>
      <c r="AB108" s="43"/>
    </row>
    <row r="109">
      <c r="A109" s="43"/>
      <c r="B109" s="44">
        <v>49.0</v>
      </c>
      <c r="C109" s="12" t="s">
        <v>74</v>
      </c>
      <c r="D109" s="13" t="s">
        <v>18</v>
      </c>
      <c r="E109" s="44" t="s">
        <v>19</v>
      </c>
      <c r="F109" s="44">
        <v>2023.0</v>
      </c>
      <c r="G109" s="49">
        <f t="shared" si="3"/>
        <v>0.021</v>
      </c>
      <c r="H109" s="49">
        <f t="shared" si="4"/>
        <v>0.02</v>
      </c>
      <c r="I109" s="49">
        <f t="shared" si="5"/>
        <v>0.02</v>
      </c>
      <c r="J109" s="49">
        <f t="shared" si="6"/>
        <v>0.02</v>
      </c>
      <c r="K109" s="44">
        <f t="shared" si="7"/>
        <v>0.021</v>
      </c>
      <c r="L109" s="44">
        <f t="shared" si="8"/>
        <v>0.021</v>
      </c>
      <c r="M109" s="44">
        <f t="shared" si="9"/>
        <v>0.018</v>
      </c>
      <c r="N109" s="44">
        <f t="shared" si="10"/>
        <v>0.022</v>
      </c>
      <c r="O109" s="44">
        <f t="shared" si="11"/>
        <v>0.02</v>
      </c>
      <c r="P109" s="44">
        <f t="shared" si="12"/>
        <v>0.02</v>
      </c>
      <c r="Q109" s="44">
        <f t="shared" si="13"/>
        <v>0.019</v>
      </c>
      <c r="R109" s="44">
        <f t="shared" si="14"/>
        <v>0.02</v>
      </c>
      <c r="S109" s="44">
        <f t="shared" si="15"/>
        <v>0.02</v>
      </c>
      <c r="T109" s="44">
        <f t="shared" si="16"/>
        <v>0.021</v>
      </c>
      <c r="U109" s="44">
        <f t="shared" si="17"/>
        <v>0.021</v>
      </c>
      <c r="V109" s="43"/>
      <c r="W109" s="43"/>
      <c r="X109" s="43"/>
      <c r="Y109" s="43"/>
      <c r="Z109" s="43"/>
      <c r="AA109" s="43"/>
      <c r="AB109" s="43"/>
    </row>
    <row r="110">
      <c r="A110" s="43"/>
      <c r="B110" s="44"/>
      <c r="C110" s="48"/>
      <c r="D110" s="44"/>
      <c r="E110" s="44"/>
      <c r="F110" s="44"/>
      <c r="G110" s="49"/>
      <c r="H110" s="49"/>
      <c r="I110" s="49"/>
      <c r="J110" s="49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3"/>
      <c r="W110" s="43"/>
      <c r="X110" s="43"/>
      <c r="Y110" s="43"/>
      <c r="Z110" s="43"/>
      <c r="AA110" s="43"/>
      <c r="AB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>
      <c r="A112" s="43"/>
      <c r="B112" s="45" t="s">
        <v>2</v>
      </c>
      <c r="C112" s="45" t="s">
        <v>3</v>
      </c>
      <c r="D112" s="46" t="s">
        <v>4</v>
      </c>
      <c r="E112" s="46" t="s">
        <v>5</v>
      </c>
      <c r="F112" s="46" t="s">
        <v>6</v>
      </c>
      <c r="G112" s="46" t="s">
        <v>7</v>
      </c>
      <c r="H112" s="46" t="s">
        <v>8</v>
      </c>
      <c r="I112" s="46" t="s">
        <v>9</v>
      </c>
      <c r="J112" s="46" t="s">
        <v>10</v>
      </c>
      <c r="K112" s="47" t="s">
        <v>11</v>
      </c>
      <c r="L112" s="47" t="s">
        <v>12</v>
      </c>
      <c r="M112" s="47" t="s">
        <v>13</v>
      </c>
      <c r="N112" s="47" t="s">
        <v>14</v>
      </c>
      <c r="O112" s="47" t="s">
        <v>78</v>
      </c>
      <c r="P112" s="47" t="s">
        <v>79</v>
      </c>
      <c r="Q112" s="47" t="s">
        <v>80</v>
      </c>
      <c r="R112" s="47" t="s">
        <v>81</v>
      </c>
      <c r="S112" s="47" t="s">
        <v>78</v>
      </c>
      <c r="T112" s="47" t="s">
        <v>83</v>
      </c>
      <c r="U112" s="47" t="s">
        <v>84</v>
      </c>
      <c r="V112" s="55" t="s">
        <v>108</v>
      </c>
      <c r="W112" s="55" t="s">
        <v>109</v>
      </c>
      <c r="X112" s="43"/>
      <c r="Y112" s="1" t="s">
        <v>110</v>
      </c>
      <c r="Z112" s="1" t="s">
        <v>111</v>
      </c>
      <c r="AA112" s="1" t="s">
        <v>112</v>
      </c>
      <c r="AB112" s="1" t="s">
        <v>113</v>
      </c>
    </row>
    <row r="113">
      <c r="A113" s="43"/>
      <c r="B113" s="44"/>
      <c r="C113" s="48" t="s">
        <v>86</v>
      </c>
      <c r="D113" s="48" t="s">
        <v>87</v>
      </c>
      <c r="E113" s="48" t="s">
        <v>87</v>
      </c>
      <c r="F113" s="48">
        <v>2024.0</v>
      </c>
      <c r="G113" s="49">
        <f t="shared" ref="G113:G162" si="18">G60*$C$57</f>
        <v>0.00176</v>
      </c>
      <c r="H113" s="49">
        <f t="shared" ref="H113:H162" si="19">H60*$D$57</f>
        <v>0.00168</v>
      </c>
      <c r="I113" s="49">
        <f t="shared" ref="I113:I162" si="20">I60*$E$57</f>
        <v>0.00147</v>
      </c>
      <c r="J113" s="49">
        <f t="shared" ref="J113:J162" si="21">J60*$F$57</f>
        <v>0.00168</v>
      </c>
      <c r="K113" s="49">
        <f t="shared" ref="K113:K162" si="22">K60*$G$57</f>
        <v>0.00161</v>
      </c>
      <c r="L113" s="49">
        <f t="shared" ref="L113:L162" si="23">L60*$H$57</f>
        <v>0.0011</v>
      </c>
      <c r="M113" s="49">
        <f t="shared" ref="M113:M162" si="24">M60*$I$57</f>
        <v>0.0011</v>
      </c>
      <c r="N113" s="49">
        <f t="shared" ref="N113:N162" si="25">N60*$J$57</f>
        <v>0.0011</v>
      </c>
      <c r="O113" s="49">
        <f t="shared" ref="O113:O162" si="26">O60*$K$57</f>
        <v>0.00168</v>
      </c>
      <c r="P113" s="49">
        <f t="shared" ref="P113:P162" si="27">P60*$L$57</f>
        <v>0.0021</v>
      </c>
      <c r="Q113" s="49">
        <f t="shared" ref="Q113:Q162" si="28">Q60*$M$57</f>
        <v>0.002</v>
      </c>
      <c r="R113" s="49">
        <f t="shared" ref="R113:R162" si="29">R60*$N$57</f>
        <v>0.00105</v>
      </c>
      <c r="S113" s="49">
        <f t="shared" ref="S113:S162" si="30">S60*$O$57</f>
        <v>0.0011</v>
      </c>
      <c r="T113" s="49">
        <f t="shared" ref="T113:T162" si="31">T60*$P$57</f>
        <v>0.00088</v>
      </c>
      <c r="U113" s="49">
        <f t="shared" ref="U113:U162" si="32">U60*$Q$57</f>
        <v>0.00084</v>
      </c>
      <c r="V113" s="49">
        <f t="shared" ref="V113:V162" si="33">SUM(G113:U113)</f>
        <v>0.02115</v>
      </c>
      <c r="W113" s="49"/>
      <c r="X113" s="43"/>
      <c r="Y113" s="1" t="s">
        <v>114</v>
      </c>
      <c r="Z113" s="56">
        <v>0.02324</v>
      </c>
      <c r="AA113" s="56">
        <v>1.0</v>
      </c>
      <c r="AB113" s="1" t="s">
        <v>115</v>
      </c>
    </row>
    <row r="114">
      <c r="A114" s="43"/>
      <c r="B114" s="44">
        <v>1.0</v>
      </c>
      <c r="C114" s="12" t="s">
        <v>17</v>
      </c>
      <c r="D114" s="13" t="s">
        <v>18</v>
      </c>
      <c r="E114" s="44" t="s">
        <v>19</v>
      </c>
      <c r="F114" s="44">
        <v>2024.0</v>
      </c>
      <c r="G114" s="49">
        <f t="shared" si="18"/>
        <v>0.0016</v>
      </c>
      <c r="H114" s="49">
        <f t="shared" si="19"/>
        <v>0.00168</v>
      </c>
      <c r="I114" s="49">
        <f t="shared" si="20"/>
        <v>0.0014</v>
      </c>
      <c r="J114" s="49">
        <f t="shared" si="21"/>
        <v>0.0016</v>
      </c>
      <c r="K114" s="49">
        <f t="shared" si="22"/>
        <v>0.0014</v>
      </c>
      <c r="L114" s="49">
        <f t="shared" si="23"/>
        <v>0.001</v>
      </c>
      <c r="M114" s="49">
        <f t="shared" si="24"/>
        <v>0.00095</v>
      </c>
      <c r="N114" s="49">
        <f t="shared" si="25"/>
        <v>0.0011</v>
      </c>
      <c r="O114" s="49">
        <f t="shared" si="26"/>
        <v>0.0016</v>
      </c>
      <c r="P114" s="49">
        <f t="shared" si="27"/>
        <v>0.002</v>
      </c>
      <c r="Q114" s="49">
        <f t="shared" si="28"/>
        <v>0.00152</v>
      </c>
      <c r="R114" s="49">
        <f t="shared" si="29"/>
        <v>0.001</v>
      </c>
      <c r="S114" s="49">
        <f t="shared" si="30"/>
        <v>0.00105</v>
      </c>
      <c r="T114" s="49">
        <f t="shared" si="31"/>
        <v>0.00084</v>
      </c>
      <c r="U114" s="49">
        <f t="shared" si="32"/>
        <v>0.00084</v>
      </c>
      <c r="V114" s="49">
        <f t="shared" si="33"/>
        <v>0.01958</v>
      </c>
      <c r="W114" s="49">
        <f t="shared" ref="W114:W162" si="34">V114/$V$113</f>
        <v>0.9257683215</v>
      </c>
      <c r="X114" s="43"/>
      <c r="Y114" s="1" t="s">
        <v>116</v>
      </c>
      <c r="Z114" s="56">
        <v>0.02271</v>
      </c>
      <c r="AA114" s="56">
        <v>0.9772</v>
      </c>
      <c r="AB114" s="56">
        <v>1.0</v>
      </c>
    </row>
    <row r="115">
      <c r="A115" s="43"/>
      <c r="B115" s="44">
        <v>2.0</v>
      </c>
      <c r="C115" s="12" t="s">
        <v>20</v>
      </c>
      <c r="D115" s="4" t="s">
        <v>18</v>
      </c>
      <c r="E115" s="44" t="s">
        <v>21</v>
      </c>
      <c r="F115" s="44">
        <v>2024.0</v>
      </c>
      <c r="G115" s="49">
        <f t="shared" si="18"/>
        <v>0.00152</v>
      </c>
      <c r="H115" s="49">
        <f t="shared" si="19"/>
        <v>0.00152</v>
      </c>
      <c r="I115" s="49">
        <f t="shared" si="20"/>
        <v>0.00133</v>
      </c>
      <c r="J115" s="49">
        <f t="shared" si="21"/>
        <v>0.0016</v>
      </c>
      <c r="K115" s="49">
        <f t="shared" si="22"/>
        <v>0.0014</v>
      </c>
      <c r="L115" s="49">
        <f t="shared" si="23"/>
        <v>0.0011</v>
      </c>
      <c r="M115" s="49">
        <f t="shared" si="24"/>
        <v>0.00095</v>
      </c>
      <c r="N115" s="49">
        <f t="shared" si="25"/>
        <v>0.001</v>
      </c>
      <c r="O115" s="49">
        <f t="shared" si="26"/>
        <v>0.00152</v>
      </c>
      <c r="P115" s="49">
        <f t="shared" si="27"/>
        <v>0.002</v>
      </c>
      <c r="Q115" s="49">
        <f t="shared" si="28"/>
        <v>0.00152</v>
      </c>
      <c r="R115" s="49">
        <f t="shared" si="29"/>
        <v>0.001</v>
      </c>
      <c r="S115" s="49">
        <f t="shared" si="30"/>
        <v>0.00095</v>
      </c>
      <c r="T115" s="49">
        <f t="shared" si="31"/>
        <v>0.00076</v>
      </c>
      <c r="U115" s="49">
        <f t="shared" si="32"/>
        <v>0.00072</v>
      </c>
      <c r="V115" s="49">
        <f t="shared" si="33"/>
        <v>0.01889</v>
      </c>
      <c r="W115" s="49">
        <f t="shared" si="34"/>
        <v>0.893144208</v>
      </c>
      <c r="X115" s="43"/>
      <c r="Y115" s="1" t="s">
        <v>117</v>
      </c>
      <c r="Z115" s="56">
        <v>0.02251</v>
      </c>
      <c r="AA115" s="56">
        <v>0.9686</v>
      </c>
      <c r="AB115" s="56">
        <v>2.0</v>
      </c>
    </row>
    <row r="116">
      <c r="A116" s="43"/>
      <c r="B116" s="44">
        <v>3.0</v>
      </c>
      <c r="C116" s="12" t="s">
        <v>22</v>
      </c>
      <c r="D116" s="4" t="s">
        <v>23</v>
      </c>
      <c r="E116" s="44" t="s">
        <v>24</v>
      </c>
      <c r="F116" s="44">
        <v>2023.0</v>
      </c>
      <c r="G116" s="49">
        <f t="shared" si="18"/>
        <v>0.00168</v>
      </c>
      <c r="H116" s="49">
        <f t="shared" si="19"/>
        <v>0.00168</v>
      </c>
      <c r="I116" s="49">
        <f t="shared" si="20"/>
        <v>0.00147</v>
      </c>
      <c r="J116" s="49">
        <f t="shared" si="21"/>
        <v>0.00168</v>
      </c>
      <c r="K116" s="49">
        <f t="shared" si="22"/>
        <v>0.00147</v>
      </c>
      <c r="L116" s="49">
        <f t="shared" si="23"/>
        <v>0.0011</v>
      </c>
      <c r="M116" s="49">
        <f t="shared" si="24"/>
        <v>0.00105</v>
      </c>
      <c r="N116" s="49">
        <f t="shared" si="25"/>
        <v>0.001</v>
      </c>
      <c r="O116" s="49">
        <f t="shared" si="26"/>
        <v>0.00168</v>
      </c>
      <c r="P116" s="49">
        <f t="shared" si="27"/>
        <v>0.0021</v>
      </c>
      <c r="Q116" s="49">
        <f t="shared" si="28"/>
        <v>0.002</v>
      </c>
      <c r="R116" s="49">
        <f t="shared" si="29"/>
        <v>0.00105</v>
      </c>
      <c r="S116" s="49">
        <f t="shared" si="30"/>
        <v>0.0011</v>
      </c>
      <c r="T116" s="49">
        <f t="shared" si="31"/>
        <v>0.0008</v>
      </c>
      <c r="U116" s="49">
        <f t="shared" si="32"/>
        <v>0.0008</v>
      </c>
      <c r="V116" s="49">
        <f t="shared" si="33"/>
        <v>0.02066</v>
      </c>
      <c r="W116" s="49">
        <f t="shared" si="34"/>
        <v>0.9768321513</v>
      </c>
      <c r="X116" s="43"/>
      <c r="Y116" s="1" t="s">
        <v>118</v>
      </c>
      <c r="Z116" s="56">
        <v>0.02237</v>
      </c>
      <c r="AA116" s="56">
        <v>0.9626</v>
      </c>
      <c r="AB116" s="56">
        <v>3.0</v>
      </c>
    </row>
    <row r="117">
      <c r="A117" s="43"/>
      <c r="B117" s="44">
        <v>4.0</v>
      </c>
      <c r="C117" s="12" t="s">
        <v>25</v>
      </c>
      <c r="D117" s="4" t="s">
        <v>23</v>
      </c>
      <c r="E117" s="44" t="s">
        <v>26</v>
      </c>
      <c r="F117" s="44">
        <v>2024.0</v>
      </c>
      <c r="G117" s="49">
        <f t="shared" si="18"/>
        <v>0.00168</v>
      </c>
      <c r="H117" s="49">
        <f t="shared" si="19"/>
        <v>0.00168</v>
      </c>
      <c r="I117" s="49">
        <f t="shared" si="20"/>
        <v>0.0014</v>
      </c>
      <c r="J117" s="49">
        <f t="shared" si="21"/>
        <v>0.00168</v>
      </c>
      <c r="K117" s="49">
        <f t="shared" si="22"/>
        <v>0.00133</v>
      </c>
      <c r="L117" s="49">
        <f t="shared" si="23"/>
        <v>0.00105</v>
      </c>
      <c r="M117" s="49">
        <f t="shared" si="24"/>
        <v>0.00105</v>
      </c>
      <c r="N117" s="49">
        <f t="shared" si="25"/>
        <v>0.001</v>
      </c>
      <c r="O117" s="49">
        <f t="shared" si="26"/>
        <v>0.0016</v>
      </c>
      <c r="P117" s="49">
        <f t="shared" si="27"/>
        <v>0.0021</v>
      </c>
      <c r="Q117" s="49">
        <f t="shared" si="28"/>
        <v>0.00152</v>
      </c>
      <c r="R117" s="49">
        <f t="shared" si="29"/>
        <v>0.001</v>
      </c>
      <c r="S117" s="49">
        <f t="shared" si="30"/>
        <v>0.00105</v>
      </c>
      <c r="T117" s="49">
        <f t="shared" si="31"/>
        <v>0.0008</v>
      </c>
      <c r="U117" s="49">
        <f t="shared" si="32"/>
        <v>0.00076</v>
      </c>
      <c r="V117" s="49">
        <f t="shared" si="33"/>
        <v>0.0197</v>
      </c>
      <c r="W117" s="49">
        <f t="shared" si="34"/>
        <v>0.9314420804</v>
      </c>
      <c r="X117" s="43"/>
      <c r="Y117" s="1" t="s">
        <v>119</v>
      </c>
      <c r="Z117" s="56">
        <v>0.02219</v>
      </c>
      <c r="AA117" s="56">
        <v>0.9548</v>
      </c>
      <c r="AB117" s="56">
        <v>4.0</v>
      </c>
    </row>
    <row r="118">
      <c r="A118" s="43"/>
      <c r="B118" s="44">
        <v>5.0</v>
      </c>
      <c r="C118" s="12" t="s">
        <v>27</v>
      </c>
      <c r="D118" s="13" t="s">
        <v>18</v>
      </c>
      <c r="E118" s="44" t="s">
        <v>24</v>
      </c>
      <c r="F118" s="44">
        <v>2024.0</v>
      </c>
      <c r="G118" s="49">
        <f t="shared" si="18"/>
        <v>0.0016</v>
      </c>
      <c r="H118" s="49">
        <f t="shared" si="19"/>
        <v>0.00168</v>
      </c>
      <c r="I118" s="49">
        <f t="shared" si="20"/>
        <v>0.00147</v>
      </c>
      <c r="J118" s="49">
        <f t="shared" si="21"/>
        <v>0.0016</v>
      </c>
      <c r="K118" s="49">
        <f t="shared" si="22"/>
        <v>0.0014</v>
      </c>
      <c r="L118" s="49">
        <f t="shared" si="23"/>
        <v>0.00095</v>
      </c>
      <c r="M118" s="49">
        <f t="shared" si="24"/>
        <v>0.00095</v>
      </c>
      <c r="N118" s="49">
        <f t="shared" si="25"/>
        <v>0.001</v>
      </c>
      <c r="O118" s="49">
        <f t="shared" si="26"/>
        <v>0.0016</v>
      </c>
      <c r="P118" s="49">
        <f t="shared" si="27"/>
        <v>0.0021</v>
      </c>
      <c r="Q118" s="49">
        <f t="shared" si="28"/>
        <v>0.00152</v>
      </c>
      <c r="R118" s="49">
        <f t="shared" si="29"/>
        <v>0.00105</v>
      </c>
      <c r="S118" s="49">
        <f t="shared" si="30"/>
        <v>0.001</v>
      </c>
      <c r="T118" s="49">
        <f t="shared" si="31"/>
        <v>0.0008</v>
      </c>
      <c r="U118" s="49">
        <f t="shared" si="32"/>
        <v>0.0008</v>
      </c>
      <c r="V118" s="49">
        <f t="shared" si="33"/>
        <v>0.01952</v>
      </c>
      <c r="W118" s="49">
        <f t="shared" si="34"/>
        <v>0.9229314421</v>
      </c>
      <c r="X118" s="43"/>
      <c r="Y118" s="1" t="s">
        <v>120</v>
      </c>
      <c r="Z118" s="56">
        <v>0.02206</v>
      </c>
      <c r="AA118" s="56">
        <v>0.9492</v>
      </c>
      <c r="AB118" s="56">
        <v>5.0</v>
      </c>
    </row>
    <row r="119">
      <c r="A119" s="43"/>
      <c r="B119" s="44">
        <v>6.0</v>
      </c>
      <c r="C119" s="12" t="s">
        <v>28</v>
      </c>
      <c r="D119" s="4" t="s">
        <v>18</v>
      </c>
      <c r="E119" s="44" t="s">
        <v>29</v>
      </c>
      <c r="F119" s="44">
        <v>2023.0</v>
      </c>
      <c r="G119" s="49">
        <f t="shared" si="18"/>
        <v>0.00168</v>
      </c>
      <c r="H119" s="49">
        <f t="shared" si="19"/>
        <v>0.00168</v>
      </c>
      <c r="I119" s="49">
        <f t="shared" si="20"/>
        <v>0.00147</v>
      </c>
      <c r="J119" s="49">
        <f t="shared" si="21"/>
        <v>0.00168</v>
      </c>
      <c r="K119" s="49">
        <f t="shared" si="22"/>
        <v>0.00147</v>
      </c>
      <c r="L119" s="49">
        <f t="shared" si="23"/>
        <v>0.0011</v>
      </c>
      <c r="M119" s="49">
        <f t="shared" si="24"/>
        <v>0.00105</v>
      </c>
      <c r="N119" s="49">
        <f t="shared" si="25"/>
        <v>0.001</v>
      </c>
      <c r="O119" s="49">
        <f t="shared" si="26"/>
        <v>0.00168</v>
      </c>
      <c r="P119" s="49">
        <f t="shared" si="27"/>
        <v>0.0021</v>
      </c>
      <c r="Q119" s="49">
        <f t="shared" si="28"/>
        <v>0.00152</v>
      </c>
      <c r="R119" s="49">
        <f t="shared" si="29"/>
        <v>0.00105</v>
      </c>
      <c r="S119" s="49">
        <f t="shared" si="30"/>
        <v>0.00105</v>
      </c>
      <c r="T119" s="49">
        <f t="shared" si="31"/>
        <v>0.00084</v>
      </c>
      <c r="U119" s="49">
        <f t="shared" si="32"/>
        <v>0.00084</v>
      </c>
      <c r="V119" s="49">
        <f t="shared" si="33"/>
        <v>0.02021</v>
      </c>
      <c r="W119" s="49">
        <f t="shared" si="34"/>
        <v>0.9555555556</v>
      </c>
      <c r="X119" s="43"/>
      <c r="Y119" s="1" t="s">
        <v>121</v>
      </c>
      <c r="Z119" s="56">
        <v>0.02196</v>
      </c>
      <c r="AA119" s="56">
        <v>0.9449</v>
      </c>
      <c r="AB119" s="56">
        <v>6.0</v>
      </c>
    </row>
    <row r="120">
      <c r="A120" s="43"/>
      <c r="B120" s="44">
        <v>7.0</v>
      </c>
      <c r="C120" s="12" t="s">
        <v>30</v>
      </c>
      <c r="D120" s="4" t="s">
        <v>23</v>
      </c>
      <c r="E120" s="44" t="s">
        <v>31</v>
      </c>
      <c r="F120" s="44">
        <v>2024.0</v>
      </c>
      <c r="G120" s="49">
        <f t="shared" si="18"/>
        <v>0.00168</v>
      </c>
      <c r="H120" s="49">
        <f t="shared" si="19"/>
        <v>0.00168</v>
      </c>
      <c r="I120" s="49">
        <f t="shared" si="20"/>
        <v>0.00147</v>
      </c>
      <c r="J120" s="49">
        <f t="shared" si="21"/>
        <v>0.00168</v>
      </c>
      <c r="K120" s="49">
        <f t="shared" si="22"/>
        <v>0.00133</v>
      </c>
      <c r="L120" s="49">
        <f t="shared" si="23"/>
        <v>0.00105</v>
      </c>
      <c r="M120" s="49">
        <f t="shared" si="24"/>
        <v>0.00095</v>
      </c>
      <c r="N120" s="49">
        <f t="shared" si="25"/>
        <v>0.001</v>
      </c>
      <c r="O120" s="49">
        <f t="shared" si="26"/>
        <v>0.00168</v>
      </c>
      <c r="P120" s="49">
        <f t="shared" si="27"/>
        <v>0.0021</v>
      </c>
      <c r="Q120" s="49">
        <f t="shared" si="28"/>
        <v>0.00176</v>
      </c>
      <c r="R120" s="49">
        <f t="shared" si="29"/>
        <v>0.00105</v>
      </c>
      <c r="S120" s="49">
        <f t="shared" si="30"/>
        <v>0.0011</v>
      </c>
      <c r="T120" s="49">
        <f t="shared" si="31"/>
        <v>0.00084</v>
      </c>
      <c r="U120" s="49">
        <f t="shared" si="32"/>
        <v>0.00084</v>
      </c>
      <c r="V120" s="49">
        <f t="shared" si="33"/>
        <v>0.02021</v>
      </c>
      <c r="W120" s="49">
        <f t="shared" si="34"/>
        <v>0.9555555556</v>
      </c>
      <c r="X120" s="43"/>
      <c r="Y120" s="1" t="s">
        <v>122</v>
      </c>
      <c r="Z120" s="56">
        <v>0.02194</v>
      </c>
      <c r="AA120" s="56">
        <v>0.9441</v>
      </c>
      <c r="AB120" s="56">
        <v>7.0</v>
      </c>
    </row>
    <row r="121">
      <c r="A121" s="43"/>
      <c r="B121" s="44">
        <v>8.0</v>
      </c>
      <c r="C121" s="12" t="s">
        <v>32</v>
      </c>
      <c r="D121" s="13" t="s">
        <v>18</v>
      </c>
      <c r="E121" s="44" t="s">
        <v>24</v>
      </c>
      <c r="F121" s="44">
        <v>2024.0</v>
      </c>
      <c r="G121" s="49">
        <f t="shared" si="18"/>
        <v>0.00152</v>
      </c>
      <c r="H121" s="49">
        <f t="shared" si="19"/>
        <v>0.0016</v>
      </c>
      <c r="I121" s="49">
        <f t="shared" si="20"/>
        <v>0.0014</v>
      </c>
      <c r="J121" s="49">
        <f t="shared" si="21"/>
        <v>0.0016</v>
      </c>
      <c r="K121" s="49">
        <f t="shared" si="22"/>
        <v>0.0014</v>
      </c>
      <c r="L121" s="49">
        <f t="shared" si="23"/>
        <v>0.00095</v>
      </c>
      <c r="M121" s="49">
        <f t="shared" si="24"/>
        <v>0.00105</v>
      </c>
      <c r="N121" s="49">
        <f t="shared" si="25"/>
        <v>0.00105</v>
      </c>
      <c r="O121" s="49">
        <f t="shared" si="26"/>
        <v>0.0016</v>
      </c>
      <c r="P121" s="49">
        <f t="shared" si="27"/>
        <v>0.002</v>
      </c>
      <c r="Q121" s="49">
        <f t="shared" si="28"/>
        <v>0.00152</v>
      </c>
      <c r="R121" s="49">
        <f t="shared" si="29"/>
        <v>0.001</v>
      </c>
      <c r="S121" s="49">
        <f t="shared" si="30"/>
        <v>0.00085</v>
      </c>
      <c r="T121" s="49">
        <f t="shared" si="31"/>
        <v>0.00072</v>
      </c>
      <c r="U121" s="49">
        <f t="shared" si="32"/>
        <v>0.00084</v>
      </c>
      <c r="V121" s="49">
        <f t="shared" si="33"/>
        <v>0.0191</v>
      </c>
      <c r="W121" s="49">
        <f t="shared" si="34"/>
        <v>0.9030732861</v>
      </c>
      <c r="X121" s="43"/>
      <c r="Y121" s="1" t="s">
        <v>123</v>
      </c>
      <c r="Z121" s="56">
        <v>0.02191</v>
      </c>
      <c r="AA121" s="56">
        <v>0.9428</v>
      </c>
      <c r="AB121" s="56">
        <v>8.0</v>
      </c>
    </row>
    <row r="122">
      <c r="A122" s="43"/>
      <c r="B122" s="44">
        <v>9.0</v>
      </c>
      <c r="C122" s="12" t="s">
        <v>33</v>
      </c>
      <c r="D122" s="13" t="s">
        <v>23</v>
      </c>
      <c r="E122" s="44" t="s">
        <v>29</v>
      </c>
      <c r="F122" s="44">
        <v>2024.0</v>
      </c>
      <c r="G122" s="49">
        <f t="shared" si="18"/>
        <v>0.00176</v>
      </c>
      <c r="H122" s="49">
        <f t="shared" si="19"/>
        <v>0.00168</v>
      </c>
      <c r="I122" s="49">
        <f t="shared" si="20"/>
        <v>0.00147</v>
      </c>
      <c r="J122" s="49">
        <f t="shared" si="21"/>
        <v>0.0016</v>
      </c>
      <c r="K122" s="49">
        <f t="shared" si="22"/>
        <v>0.00126</v>
      </c>
      <c r="L122" s="49">
        <f t="shared" si="23"/>
        <v>0.001</v>
      </c>
      <c r="M122" s="49">
        <f t="shared" si="24"/>
        <v>0.00105</v>
      </c>
      <c r="N122" s="49">
        <f t="shared" si="25"/>
        <v>0.00105</v>
      </c>
      <c r="O122" s="49">
        <f t="shared" si="26"/>
        <v>0.0016</v>
      </c>
      <c r="P122" s="49">
        <f t="shared" si="27"/>
        <v>0.0021</v>
      </c>
      <c r="Q122" s="49">
        <f t="shared" si="28"/>
        <v>0.00152</v>
      </c>
      <c r="R122" s="49">
        <f t="shared" si="29"/>
        <v>0.001</v>
      </c>
      <c r="S122" s="49">
        <f t="shared" si="30"/>
        <v>0.0011</v>
      </c>
      <c r="T122" s="49">
        <f t="shared" si="31"/>
        <v>0.00088</v>
      </c>
      <c r="U122" s="49">
        <f t="shared" si="32"/>
        <v>0.00084</v>
      </c>
      <c r="V122" s="49">
        <f t="shared" si="33"/>
        <v>0.01991</v>
      </c>
      <c r="W122" s="49">
        <f t="shared" si="34"/>
        <v>0.9413711584</v>
      </c>
      <c r="X122" s="43"/>
      <c r="Y122" s="1" t="s">
        <v>124</v>
      </c>
      <c r="Z122" s="56">
        <v>0.02186</v>
      </c>
      <c r="AA122" s="56">
        <v>0.9406</v>
      </c>
      <c r="AB122" s="56">
        <v>9.0</v>
      </c>
    </row>
    <row r="123">
      <c r="A123" s="43"/>
      <c r="B123" s="44">
        <v>10.0</v>
      </c>
      <c r="C123" s="12" t="s">
        <v>34</v>
      </c>
      <c r="D123" s="13" t="s">
        <v>18</v>
      </c>
      <c r="E123" s="44" t="s">
        <v>19</v>
      </c>
      <c r="F123" s="44">
        <v>2024.0</v>
      </c>
      <c r="G123" s="49">
        <f t="shared" si="18"/>
        <v>0.0016</v>
      </c>
      <c r="H123" s="49">
        <f t="shared" si="19"/>
        <v>0.0016</v>
      </c>
      <c r="I123" s="49">
        <f t="shared" si="20"/>
        <v>0.0014</v>
      </c>
      <c r="J123" s="49">
        <f t="shared" si="21"/>
        <v>0.00168</v>
      </c>
      <c r="K123" s="49">
        <f t="shared" si="22"/>
        <v>0.0014</v>
      </c>
      <c r="L123" s="49">
        <f t="shared" si="23"/>
        <v>0.00105</v>
      </c>
      <c r="M123" s="49">
        <f t="shared" si="24"/>
        <v>0.00095</v>
      </c>
      <c r="N123" s="49">
        <f t="shared" si="25"/>
        <v>0.001</v>
      </c>
      <c r="O123" s="49">
        <f t="shared" si="26"/>
        <v>0.00168</v>
      </c>
      <c r="P123" s="49">
        <f t="shared" si="27"/>
        <v>0.002</v>
      </c>
      <c r="Q123" s="49">
        <f t="shared" si="28"/>
        <v>0.00152</v>
      </c>
      <c r="R123" s="49">
        <f t="shared" si="29"/>
        <v>0.001</v>
      </c>
      <c r="S123" s="49">
        <f t="shared" si="30"/>
        <v>0.00095</v>
      </c>
      <c r="T123" s="49">
        <f t="shared" si="31"/>
        <v>0.0008</v>
      </c>
      <c r="U123" s="49">
        <f t="shared" si="32"/>
        <v>0.00084</v>
      </c>
      <c r="V123" s="49">
        <f t="shared" si="33"/>
        <v>0.01947</v>
      </c>
      <c r="W123" s="49">
        <f t="shared" si="34"/>
        <v>0.9205673759</v>
      </c>
      <c r="X123" s="43"/>
      <c r="Y123" s="1" t="s">
        <v>125</v>
      </c>
      <c r="Z123" s="56">
        <v>0.02181</v>
      </c>
      <c r="AA123" s="56">
        <v>0.9385</v>
      </c>
      <c r="AB123" s="56">
        <v>10.0</v>
      </c>
    </row>
    <row r="124">
      <c r="A124" s="43"/>
      <c r="B124" s="44">
        <v>11.0</v>
      </c>
      <c r="C124" s="12" t="s">
        <v>35</v>
      </c>
      <c r="D124" s="4" t="s">
        <v>23</v>
      </c>
      <c r="E124" s="44" t="s">
        <v>26</v>
      </c>
      <c r="F124" s="44">
        <v>2023.0</v>
      </c>
      <c r="G124" s="49">
        <f t="shared" si="18"/>
        <v>0.0016</v>
      </c>
      <c r="H124" s="49">
        <f t="shared" si="19"/>
        <v>0.00168</v>
      </c>
      <c r="I124" s="49">
        <f t="shared" si="20"/>
        <v>0.00147</v>
      </c>
      <c r="J124" s="49">
        <f t="shared" si="21"/>
        <v>0.00168</v>
      </c>
      <c r="K124" s="49">
        <f t="shared" si="22"/>
        <v>0.00147</v>
      </c>
      <c r="L124" s="49">
        <f t="shared" si="23"/>
        <v>0.00095</v>
      </c>
      <c r="M124" s="49">
        <f t="shared" si="24"/>
        <v>0.00105</v>
      </c>
      <c r="N124" s="49">
        <f t="shared" si="25"/>
        <v>0.001</v>
      </c>
      <c r="O124" s="49">
        <f t="shared" si="26"/>
        <v>0.00168</v>
      </c>
      <c r="P124" s="49">
        <f t="shared" si="27"/>
        <v>0.002</v>
      </c>
      <c r="Q124" s="49">
        <f t="shared" si="28"/>
        <v>0.00152</v>
      </c>
      <c r="R124" s="49">
        <f t="shared" si="29"/>
        <v>0.00105</v>
      </c>
      <c r="S124" s="49">
        <f t="shared" si="30"/>
        <v>0.00105</v>
      </c>
      <c r="T124" s="49">
        <f t="shared" si="31"/>
        <v>0.00084</v>
      </c>
      <c r="U124" s="49">
        <f t="shared" si="32"/>
        <v>0.00084</v>
      </c>
      <c r="V124" s="49">
        <f t="shared" si="33"/>
        <v>0.01988</v>
      </c>
      <c r="W124" s="49">
        <f t="shared" si="34"/>
        <v>0.9399527187</v>
      </c>
      <c r="X124" s="43"/>
      <c r="Y124" s="1" t="s">
        <v>126</v>
      </c>
      <c r="Z124" s="56">
        <v>0.0218</v>
      </c>
      <c r="AA124" s="56">
        <v>0.938</v>
      </c>
      <c r="AB124" s="56">
        <v>11.0</v>
      </c>
    </row>
    <row r="125">
      <c r="A125" s="43"/>
      <c r="B125" s="44">
        <v>12.0</v>
      </c>
      <c r="C125" s="12" t="s">
        <v>36</v>
      </c>
      <c r="D125" s="4" t="s">
        <v>23</v>
      </c>
      <c r="E125" s="44" t="s">
        <v>19</v>
      </c>
      <c r="F125" s="44">
        <v>2024.0</v>
      </c>
      <c r="G125" s="49">
        <f t="shared" si="18"/>
        <v>0.00168</v>
      </c>
      <c r="H125" s="49">
        <f t="shared" si="19"/>
        <v>0.00168</v>
      </c>
      <c r="I125" s="49">
        <f t="shared" si="20"/>
        <v>0.00147</v>
      </c>
      <c r="J125" s="49">
        <f t="shared" si="21"/>
        <v>0.00168</v>
      </c>
      <c r="K125" s="49">
        <f t="shared" si="22"/>
        <v>0.0014</v>
      </c>
      <c r="L125" s="49">
        <f t="shared" si="23"/>
        <v>0.00105</v>
      </c>
      <c r="M125" s="49">
        <f t="shared" si="24"/>
        <v>0.0011</v>
      </c>
      <c r="N125" s="49">
        <f t="shared" si="25"/>
        <v>0.001</v>
      </c>
      <c r="O125" s="49">
        <f t="shared" si="26"/>
        <v>0.00168</v>
      </c>
      <c r="P125" s="49">
        <f t="shared" si="27"/>
        <v>0.002</v>
      </c>
      <c r="Q125" s="49">
        <f t="shared" si="28"/>
        <v>0.002</v>
      </c>
      <c r="R125" s="49">
        <f t="shared" si="29"/>
        <v>0.00105</v>
      </c>
      <c r="S125" s="49">
        <f t="shared" si="30"/>
        <v>0.00105</v>
      </c>
      <c r="T125" s="49">
        <f t="shared" si="31"/>
        <v>0.00088</v>
      </c>
      <c r="U125" s="49">
        <f t="shared" si="32"/>
        <v>0.00084</v>
      </c>
      <c r="V125" s="49">
        <f t="shared" si="33"/>
        <v>0.02056</v>
      </c>
      <c r="W125" s="49">
        <f t="shared" si="34"/>
        <v>0.9721040189</v>
      </c>
      <c r="X125" s="43"/>
      <c r="Y125" s="1" t="s">
        <v>127</v>
      </c>
      <c r="Z125" s="56">
        <v>0.02174</v>
      </c>
      <c r="AA125" s="56">
        <v>0.9355</v>
      </c>
      <c r="AB125" s="56">
        <v>12.0</v>
      </c>
    </row>
    <row r="126">
      <c r="A126" s="43"/>
      <c r="B126" s="44">
        <v>13.0</v>
      </c>
      <c r="C126" s="12" t="s">
        <v>37</v>
      </c>
      <c r="D126" s="13" t="s">
        <v>18</v>
      </c>
      <c r="E126" s="44" t="s">
        <v>38</v>
      </c>
      <c r="F126" s="44">
        <v>2024.0</v>
      </c>
      <c r="G126" s="49">
        <f t="shared" si="18"/>
        <v>0.00144</v>
      </c>
      <c r="H126" s="49">
        <f t="shared" si="19"/>
        <v>0.00152</v>
      </c>
      <c r="I126" s="49">
        <f t="shared" si="20"/>
        <v>0.00147</v>
      </c>
      <c r="J126" s="49">
        <f t="shared" si="21"/>
        <v>0.00136</v>
      </c>
      <c r="K126" s="49">
        <f t="shared" si="22"/>
        <v>0.00147</v>
      </c>
      <c r="L126" s="49">
        <f t="shared" si="23"/>
        <v>0.001</v>
      </c>
      <c r="M126" s="49">
        <f t="shared" si="24"/>
        <v>0.00105</v>
      </c>
      <c r="N126" s="49">
        <f t="shared" si="25"/>
        <v>0.001</v>
      </c>
      <c r="O126" s="49">
        <f t="shared" si="26"/>
        <v>0.00168</v>
      </c>
      <c r="P126" s="49">
        <f t="shared" si="27"/>
        <v>0.0019</v>
      </c>
      <c r="Q126" s="49">
        <f t="shared" si="28"/>
        <v>0.00152</v>
      </c>
      <c r="R126" s="49">
        <f t="shared" si="29"/>
        <v>0.00095</v>
      </c>
      <c r="S126" s="49">
        <f t="shared" si="30"/>
        <v>0.00085</v>
      </c>
      <c r="T126" s="49">
        <f t="shared" si="31"/>
        <v>0.00076</v>
      </c>
      <c r="U126" s="49">
        <f t="shared" si="32"/>
        <v>0.00072</v>
      </c>
      <c r="V126" s="49">
        <f t="shared" si="33"/>
        <v>0.01869</v>
      </c>
      <c r="W126" s="49">
        <f t="shared" si="34"/>
        <v>0.8836879433</v>
      </c>
      <c r="X126" s="43"/>
      <c r="Y126" s="1" t="s">
        <v>128</v>
      </c>
      <c r="Z126" s="56">
        <v>0.0217</v>
      </c>
      <c r="AA126" s="56">
        <v>0.9337</v>
      </c>
      <c r="AB126" s="56">
        <v>13.0</v>
      </c>
    </row>
    <row r="127">
      <c r="A127" s="43"/>
      <c r="B127" s="44">
        <v>14.0</v>
      </c>
      <c r="C127" s="12" t="s">
        <v>39</v>
      </c>
      <c r="D127" s="4" t="s">
        <v>23</v>
      </c>
      <c r="E127" s="44" t="s">
        <v>21</v>
      </c>
      <c r="F127" s="44">
        <v>2024.0</v>
      </c>
      <c r="G127" s="49">
        <f t="shared" si="18"/>
        <v>0.00168</v>
      </c>
      <c r="H127" s="49">
        <f t="shared" si="19"/>
        <v>0.00168</v>
      </c>
      <c r="I127" s="49">
        <f t="shared" si="20"/>
        <v>0.0014</v>
      </c>
      <c r="J127" s="49">
        <f t="shared" si="21"/>
        <v>0.00168</v>
      </c>
      <c r="K127" s="49">
        <f t="shared" si="22"/>
        <v>0.0014</v>
      </c>
      <c r="L127" s="49">
        <f t="shared" si="23"/>
        <v>0.001</v>
      </c>
      <c r="M127" s="49">
        <f t="shared" si="24"/>
        <v>0.00095</v>
      </c>
      <c r="N127" s="49">
        <f t="shared" si="25"/>
        <v>0.001</v>
      </c>
      <c r="O127" s="49">
        <f t="shared" si="26"/>
        <v>0.0016</v>
      </c>
      <c r="P127" s="49">
        <f t="shared" si="27"/>
        <v>0.0021</v>
      </c>
      <c r="Q127" s="49">
        <f t="shared" si="28"/>
        <v>0.00152</v>
      </c>
      <c r="R127" s="49">
        <f t="shared" si="29"/>
        <v>0.00105</v>
      </c>
      <c r="S127" s="49">
        <f t="shared" si="30"/>
        <v>0.001</v>
      </c>
      <c r="T127" s="49">
        <f t="shared" si="31"/>
        <v>0.0008</v>
      </c>
      <c r="U127" s="49">
        <f t="shared" si="32"/>
        <v>0.00084</v>
      </c>
      <c r="V127" s="49">
        <f t="shared" si="33"/>
        <v>0.0197</v>
      </c>
      <c r="W127" s="49">
        <f t="shared" si="34"/>
        <v>0.9314420804</v>
      </c>
      <c r="X127" s="43"/>
      <c r="Y127" s="1" t="s">
        <v>129</v>
      </c>
      <c r="Z127" s="56">
        <v>0.02166</v>
      </c>
      <c r="AA127" s="56">
        <v>0.932</v>
      </c>
      <c r="AB127" s="56">
        <v>14.0</v>
      </c>
    </row>
    <row r="128">
      <c r="A128" s="43"/>
      <c r="B128" s="44">
        <v>15.0</v>
      </c>
      <c r="C128" s="12" t="s">
        <v>40</v>
      </c>
      <c r="D128" s="13" t="s">
        <v>18</v>
      </c>
      <c r="E128" s="44" t="s">
        <v>19</v>
      </c>
      <c r="F128" s="44">
        <v>2024.0</v>
      </c>
      <c r="G128" s="49">
        <f t="shared" si="18"/>
        <v>0.0016</v>
      </c>
      <c r="H128" s="49">
        <f t="shared" si="19"/>
        <v>0.0016</v>
      </c>
      <c r="I128" s="49">
        <f t="shared" si="20"/>
        <v>0.00147</v>
      </c>
      <c r="J128" s="49">
        <f t="shared" si="21"/>
        <v>0.0016</v>
      </c>
      <c r="K128" s="49">
        <f t="shared" si="22"/>
        <v>0.00133</v>
      </c>
      <c r="L128" s="49">
        <f t="shared" si="23"/>
        <v>0.001</v>
      </c>
      <c r="M128" s="49">
        <f t="shared" si="24"/>
        <v>0.00105</v>
      </c>
      <c r="N128" s="49">
        <f t="shared" si="25"/>
        <v>0.001</v>
      </c>
      <c r="O128" s="49">
        <f t="shared" si="26"/>
        <v>0.0016</v>
      </c>
      <c r="P128" s="49">
        <f t="shared" si="27"/>
        <v>0.0021</v>
      </c>
      <c r="Q128" s="49">
        <f t="shared" si="28"/>
        <v>0.002</v>
      </c>
      <c r="R128" s="49">
        <f t="shared" si="29"/>
        <v>0.001</v>
      </c>
      <c r="S128" s="49">
        <f t="shared" si="30"/>
        <v>0.0011</v>
      </c>
      <c r="T128" s="49">
        <f t="shared" si="31"/>
        <v>0.0008</v>
      </c>
      <c r="U128" s="49">
        <f t="shared" si="32"/>
        <v>0.00084</v>
      </c>
      <c r="V128" s="49">
        <f t="shared" si="33"/>
        <v>0.02009</v>
      </c>
      <c r="W128" s="49">
        <f t="shared" si="34"/>
        <v>0.9498817967</v>
      </c>
      <c r="X128" s="43"/>
      <c r="Y128" s="1" t="s">
        <v>130</v>
      </c>
      <c r="Z128" s="56">
        <v>0.02163</v>
      </c>
      <c r="AA128" s="56">
        <v>0.9307</v>
      </c>
      <c r="AB128" s="56">
        <v>15.0</v>
      </c>
    </row>
    <row r="129">
      <c r="A129" s="43"/>
      <c r="B129" s="44">
        <v>16.0</v>
      </c>
      <c r="C129" s="12" t="s">
        <v>41</v>
      </c>
      <c r="D129" s="4" t="s">
        <v>23</v>
      </c>
      <c r="E129" s="44" t="s">
        <v>26</v>
      </c>
      <c r="F129" s="44">
        <v>2023.0</v>
      </c>
      <c r="G129" s="49">
        <f t="shared" si="18"/>
        <v>0.0016</v>
      </c>
      <c r="H129" s="49">
        <f t="shared" si="19"/>
        <v>0.0016</v>
      </c>
      <c r="I129" s="49">
        <f t="shared" si="20"/>
        <v>0.0014</v>
      </c>
      <c r="J129" s="49">
        <f t="shared" si="21"/>
        <v>0.0016</v>
      </c>
      <c r="K129" s="49">
        <f t="shared" si="22"/>
        <v>0.0014</v>
      </c>
      <c r="L129" s="49">
        <f t="shared" si="23"/>
        <v>0.00095</v>
      </c>
      <c r="M129" s="49">
        <f t="shared" si="24"/>
        <v>0.00095</v>
      </c>
      <c r="N129" s="49">
        <f t="shared" si="25"/>
        <v>0.001</v>
      </c>
      <c r="O129" s="49">
        <f t="shared" si="26"/>
        <v>0.0016</v>
      </c>
      <c r="P129" s="49">
        <f t="shared" si="27"/>
        <v>0.0021</v>
      </c>
      <c r="Q129" s="49">
        <f t="shared" si="28"/>
        <v>0.00152</v>
      </c>
      <c r="R129" s="49">
        <f t="shared" si="29"/>
        <v>0.001</v>
      </c>
      <c r="S129" s="49">
        <f t="shared" si="30"/>
        <v>0.0011</v>
      </c>
      <c r="T129" s="49">
        <f t="shared" si="31"/>
        <v>0.00084</v>
      </c>
      <c r="U129" s="49">
        <f t="shared" si="32"/>
        <v>0.00084</v>
      </c>
      <c r="V129" s="49">
        <f t="shared" si="33"/>
        <v>0.0195</v>
      </c>
      <c r="W129" s="49">
        <f t="shared" si="34"/>
        <v>0.9219858156</v>
      </c>
      <c r="X129" s="43"/>
      <c r="Y129" s="1" t="s">
        <v>131</v>
      </c>
      <c r="Z129" s="56">
        <v>0.02157</v>
      </c>
      <c r="AA129" s="56">
        <v>0.9281</v>
      </c>
      <c r="AB129" s="56">
        <v>16.0</v>
      </c>
    </row>
    <row r="130">
      <c r="A130" s="43"/>
      <c r="B130" s="44">
        <v>17.0</v>
      </c>
      <c r="C130" s="12" t="s">
        <v>42</v>
      </c>
      <c r="D130" s="13" t="s">
        <v>18</v>
      </c>
      <c r="E130" s="44" t="s">
        <v>24</v>
      </c>
      <c r="F130" s="44">
        <v>2024.0</v>
      </c>
      <c r="G130" s="49">
        <f t="shared" si="18"/>
        <v>0.0016</v>
      </c>
      <c r="H130" s="49">
        <f t="shared" si="19"/>
        <v>0.0016</v>
      </c>
      <c r="I130" s="49">
        <f t="shared" si="20"/>
        <v>0.0014</v>
      </c>
      <c r="J130" s="49">
        <f t="shared" si="21"/>
        <v>0.0016</v>
      </c>
      <c r="K130" s="49">
        <f t="shared" si="22"/>
        <v>0.00147</v>
      </c>
      <c r="L130" s="49">
        <f t="shared" si="23"/>
        <v>0.00105</v>
      </c>
      <c r="M130" s="49">
        <f t="shared" si="24"/>
        <v>0.00095</v>
      </c>
      <c r="N130" s="49">
        <f t="shared" si="25"/>
        <v>0.001</v>
      </c>
      <c r="O130" s="49">
        <f t="shared" si="26"/>
        <v>0.0016</v>
      </c>
      <c r="P130" s="49">
        <f t="shared" si="27"/>
        <v>0.002</v>
      </c>
      <c r="Q130" s="49">
        <f t="shared" si="28"/>
        <v>0.00152</v>
      </c>
      <c r="R130" s="49">
        <f t="shared" si="29"/>
        <v>0.001</v>
      </c>
      <c r="S130" s="49">
        <f t="shared" si="30"/>
        <v>0.00095</v>
      </c>
      <c r="T130" s="49">
        <f t="shared" si="31"/>
        <v>0.0008</v>
      </c>
      <c r="U130" s="49">
        <f t="shared" si="32"/>
        <v>0.00084</v>
      </c>
      <c r="V130" s="49">
        <f t="shared" si="33"/>
        <v>0.01938</v>
      </c>
      <c r="W130" s="49">
        <f t="shared" si="34"/>
        <v>0.9163120567</v>
      </c>
      <c r="X130" s="43"/>
      <c r="Y130" s="1" t="s">
        <v>132</v>
      </c>
      <c r="Z130" s="56">
        <v>0.02148</v>
      </c>
      <c r="AA130" s="56">
        <v>0.9243</v>
      </c>
      <c r="AB130" s="56">
        <v>17.0</v>
      </c>
    </row>
    <row r="131">
      <c r="A131" s="43"/>
      <c r="B131" s="44">
        <v>18.0</v>
      </c>
      <c r="C131" s="12" t="s">
        <v>43</v>
      </c>
      <c r="D131" s="13" t="s">
        <v>23</v>
      </c>
      <c r="E131" s="44" t="s">
        <v>26</v>
      </c>
      <c r="F131" s="44">
        <v>2024.0</v>
      </c>
      <c r="G131" s="49">
        <f t="shared" si="18"/>
        <v>0.00168</v>
      </c>
      <c r="H131" s="49">
        <f t="shared" si="19"/>
        <v>0.0016</v>
      </c>
      <c r="I131" s="49">
        <f t="shared" si="20"/>
        <v>0.00147</v>
      </c>
      <c r="J131" s="49">
        <f t="shared" si="21"/>
        <v>0.0016</v>
      </c>
      <c r="K131" s="49">
        <f t="shared" si="22"/>
        <v>0.00147</v>
      </c>
      <c r="L131" s="49">
        <f t="shared" si="23"/>
        <v>0.00105</v>
      </c>
      <c r="M131" s="49">
        <f t="shared" si="24"/>
        <v>0.00105</v>
      </c>
      <c r="N131" s="49">
        <f t="shared" si="25"/>
        <v>0.001</v>
      </c>
      <c r="O131" s="49">
        <f t="shared" si="26"/>
        <v>0.00168</v>
      </c>
      <c r="P131" s="49">
        <f t="shared" si="27"/>
        <v>0.0021</v>
      </c>
      <c r="Q131" s="49">
        <f t="shared" si="28"/>
        <v>0.00152</v>
      </c>
      <c r="R131" s="49">
        <f t="shared" si="29"/>
        <v>0.001</v>
      </c>
      <c r="S131" s="49">
        <f t="shared" si="30"/>
        <v>0.001</v>
      </c>
      <c r="T131" s="49">
        <f t="shared" si="31"/>
        <v>0.00076</v>
      </c>
      <c r="U131" s="49">
        <f t="shared" si="32"/>
        <v>0.00084</v>
      </c>
      <c r="V131" s="49">
        <f t="shared" si="33"/>
        <v>0.01982</v>
      </c>
      <c r="W131" s="49">
        <f t="shared" si="34"/>
        <v>0.9371158392</v>
      </c>
      <c r="X131" s="43"/>
      <c r="Y131" s="1" t="s">
        <v>133</v>
      </c>
      <c r="Z131" s="56">
        <v>0.02147</v>
      </c>
      <c r="AA131" s="56">
        <v>0.9238</v>
      </c>
      <c r="AB131" s="56">
        <v>18.0</v>
      </c>
    </row>
    <row r="132">
      <c r="A132" s="43"/>
      <c r="B132" s="44">
        <v>19.0</v>
      </c>
      <c r="C132" s="12" t="s">
        <v>44</v>
      </c>
      <c r="D132" s="13" t="s">
        <v>18</v>
      </c>
      <c r="E132" s="44" t="s">
        <v>19</v>
      </c>
      <c r="F132" s="44">
        <v>2024.0</v>
      </c>
      <c r="G132" s="49">
        <f t="shared" si="18"/>
        <v>0.00152</v>
      </c>
      <c r="H132" s="49">
        <f t="shared" si="19"/>
        <v>0.0016</v>
      </c>
      <c r="I132" s="49">
        <f t="shared" si="20"/>
        <v>0.0014</v>
      </c>
      <c r="J132" s="49">
        <f t="shared" si="21"/>
        <v>0.0016</v>
      </c>
      <c r="K132" s="49">
        <f t="shared" si="22"/>
        <v>0.00133</v>
      </c>
      <c r="L132" s="49">
        <f t="shared" si="23"/>
        <v>0.0009</v>
      </c>
      <c r="M132" s="49">
        <f t="shared" si="24"/>
        <v>0.00105</v>
      </c>
      <c r="N132" s="49">
        <f t="shared" si="25"/>
        <v>0.00105</v>
      </c>
      <c r="O132" s="49">
        <f t="shared" si="26"/>
        <v>0.0016</v>
      </c>
      <c r="P132" s="49">
        <f t="shared" si="27"/>
        <v>0.002</v>
      </c>
      <c r="Q132" s="49">
        <f t="shared" si="28"/>
        <v>0.00152</v>
      </c>
      <c r="R132" s="49">
        <f t="shared" si="29"/>
        <v>0.001</v>
      </c>
      <c r="S132" s="49">
        <f t="shared" si="30"/>
        <v>0.001</v>
      </c>
      <c r="T132" s="49">
        <f t="shared" si="31"/>
        <v>0.00076</v>
      </c>
      <c r="U132" s="49">
        <f t="shared" si="32"/>
        <v>0.00084</v>
      </c>
      <c r="V132" s="49">
        <f t="shared" si="33"/>
        <v>0.01917</v>
      </c>
      <c r="W132" s="49">
        <f t="shared" si="34"/>
        <v>0.9063829787</v>
      </c>
      <c r="X132" s="43"/>
      <c r="Y132" s="1" t="s">
        <v>134</v>
      </c>
      <c r="Z132" s="56">
        <v>0.02137</v>
      </c>
      <c r="AA132" s="56">
        <v>0.9195</v>
      </c>
      <c r="AB132" s="56">
        <v>19.0</v>
      </c>
    </row>
    <row r="133">
      <c r="A133" s="43"/>
      <c r="B133" s="44">
        <v>20.0</v>
      </c>
      <c r="C133" s="12" t="s">
        <v>45</v>
      </c>
      <c r="D133" s="4" t="s">
        <v>23</v>
      </c>
      <c r="E133" s="44" t="s">
        <v>21</v>
      </c>
      <c r="F133" s="44">
        <v>2024.0</v>
      </c>
      <c r="G133" s="49">
        <f t="shared" si="18"/>
        <v>0.0016</v>
      </c>
      <c r="H133" s="49">
        <f t="shared" si="19"/>
        <v>0.00168</v>
      </c>
      <c r="I133" s="49">
        <f t="shared" si="20"/>
        <v>0.0014</v>
      </c>
      <c r="J133" s="49">
        <f t="shared" si="21"/>
        <v>0.0016</v>
      </c>
      <c r="K133" s="49">
        <f t="shared" si="22"/>
        <v>0.0014</v>
      </c>
      <c r="L133" s="49">
        <f t="shared" si="23"/>
        <v>0.00105</v>
      </c>
      <c r="M133" s="49">
        <f t="shared" si="24"/>
        <v>0.00095</v>
      </c>
      <c r="N133" s="49">
        <f t="shared" si="25"/>
        <v>0.0011</v>
      </c>
      <c r="O133" s="49">
        <f t="shared" si="26"/>
        <v>0.0016</v>
      </c>
      <c r="P133" s="49">
        <f t="shared" si="27"/>
        <v>0.0021</v>
      </c>
      <c r="Q133" s="49">
        <f t="shared" si="28"/>
        <v>0.00176</v>
      </c>
      <c r="R133" s="49">
        <f t="shared" si="29"/>
        <v>0.00105</v>
      </c>
      <c r="S133" s="49">
        <f t="shared" si="30"/>
        <v>0.0011</v>
      </c>
      <c r="T133" s="49">
        <f t="shared" si="31"/>
        <v>0.00076</v>
      </c>
      <c r="U133" s="49">
        <f t="shared" si="32"/>
        <v>0.00084</v>
      </c>
      <c r="V133" s="49">
        <f t="shared" si="33"/>
        <v>0.01999</v>
      </c>
      <c r="W133" s="49">
        <f t="shared" si="34"/>
        <v>0.9451536643</v>
      </c>
      <c r="X133" s="43"/>
      <c r="Y133" s="1" t="s">
        <v>135</v>
      </c>
      <c r="Z133" s="56">
        <v>0.02129</v>
      </c>
      <c r="AA133" s="56">
        <v>0.9161</v>
      </c>
      <c r="AB133" s="56">
        <v>20.0</v>
      </c>
    </row>
    <row r="134">
      <c r="A134" s="43"/>
      <c r="B134" s="44">
        <v>21.0</v>
      </c>
      <c r="C134" s="12" t="s">
        <v>46</v>
      </c>
      <c r="D134" s="13" t="s">
        <v>18</v>
      </c>
      <c r="E134" s="44" t="s">
        <v>19</v>
      </c>
      <c r="F134" s="44">
        <v>2024.0</v>
      </c>
      <c r="G134" s="49">
        <f t="shared" si="18"/>
        <v>0.0016</v>
      </c>
      <c r="H134" s="49">
        <f t="shared" si="19"/>
        <v>0.0016</v>
      </c>
      <c r="I134" s="49">
        <f t="shared" si="20"/>
        <v>0.0014</v>
      </c>
      <c r="J134" s="49">
        <f t="shared" si="21"/>
        <v>0.0016</v>
      </c>
      <c r="K134" s="49">
        <f t="shared" si="22"/>
        <v>0.0014</v>
      </c>
      <c r="L134" s="49">
        <f t="shared" si="23"/>
        <v>0.00105</v>
      </c>
      <c r="M134" s="49">
        <f t="shared" si="24"/>
        <v>0.00105</v>
      </c>
      <c r="N134" s="49">
        <f t="shared" si="25"/>
        <v>0.00105</v>
      </c>
      <c r="O134" s="49">
        <f t="shared" si="26"/>
        <v>0.00168</v>
      </c>
      <c r="P134" s="49">
        <f t="shared" si="27"/>
        <v>0.0021</v>
      </c>
      <c r="Q134" s="49">
        <f t="shared" si="28"/>
        <v>0.00152</v>
      </c>
      <c r="R134" s="49">
        <f t="shared" si="29"/>
        <v>0.001</v>
      </c>
      <c r="S134" s="49">
        <f t="shared" si="30"/>
        <v>0.001</v>
      </c>
      <c r="T134" s="49">
        <f t="shared" si="31"/>
        <v>0.0008</v>
      </c>
      <c r="U134" s="49">
        <f t="shared" si="32"/>
        <v>0.00084</v>
      </c>
      <c r="V134" s="49">
        <f t="shared" si="33"/>
        <v>0.01969</v>
      </c>
      <c r="W134" s="49">
        <f t="shared" si="34"/>
        <v>0.9309692671</v>
      </c>
      <c r="X134" s="43"/>
      <c r="Y134" s="1" t="s">
        <v>136</v>
      </c>
      <c r="Z134" s="56">
        <v>0.02125</v>
      </c>
      <c r="AA134" s="56">
        <v>0.9144</v>
      </c>
      <c r="AB134" s="56">
        <v>21.0</v>
      </c>
    </row>
    <row r="135">
      <c r="A135" s="43"/>
      <c r="B135" s="44">
        <v>22.0</v>
      </c>
      <c r="C135" s="12" t="s">
        <v>47</v>
      </c>
      <c r="D135" s="4" t="s">
        <v>23</v>
      </c>
      <c r="E135" s="44" t="s">
        <v>19</v>
      </c>
      <c r="F135" s="44">
        <v>2024.0</v>
      </c>
      <c r="G135" s="49">
        <f t="shared" si="18"/>
        <v>0.00144</v>
      </c>
      <c r="H135" s="49">
        <f t="shared" si="19"/>
        <v>0.0016</v>
      </c>
      <c r="I135" s="49">
        <f t="shared" si="20"/>
        <v>0.0014</v>
      </c>
      <c r="J135" s="49">
        <f t="shared" si="21"/>
        <v>0.0016</v>
      </c>
      <c r="K135" s="49">
        <f t="shared" si="22"/>
        <v>0.00133</v>
      </c>
      <c r="L135" s="49">
        <f t="shared" si="23"/>
        <v>0.0009</v>
      </c>
      <c r="M135" s="49">
        <f t="shared" si="24"/>
        <v>0.00105</v>
      </c>
      <c r="N135" s="49">
        <f t="shared" si="25"/>
        <v>0.001</v>
      </c>
      <c r="O135" s="49">
        <f t="shared" si="26"/>
        <v>0.0016</v>
      </c>
      <c r="P135" s="49">
        <f t="shared" si="27"/>
        <v>0.0019</v>
      </c>
      <c r="Q135" s="49">
        <f t="shared" si="28"/>
        <v>0.00152</v>
      </c>
      <c r="R135" s="49">
        <f t="shared" si="29"/>
        <v>0.00095</v>
      </c>
      <c r="S135" s="49">
        <f t="shared" si="30"/>
        <v>0.00085</v>
      </c>
      <c r="T135" s="49">
        <f t="shared" si="31"/>
        <v>0.00076</v>
      </c>
      <c r="U135" s="49">
        <f t="shared" si="32"/>
        <v>0.00076</v>
      </c>
      <c r="V135" s="49">
        <f t="shared" si="33"/>
        <v>0.01866</v>
      </c>
      <c r="W135" s="49">
        <f t="shared" si="34"/>
        <v>0.8822695035</v>
      </c>
      <c r="X135" s="43"/>
      <c r="Y135" s="1" t="s">
        <v>137</v>
      </c>
      <c r="Z135" s="56">
        <v>0.02115</v>
      </c>
      <c r="AA135" s="56">
        <v>0.9101</v>
      </c>
      <c r="AB135" s="56">
        <v>22.0</v>
      </c>
    </row>
    <row r="136">
      <c r="A136" s="43"/>
      <c r="B136" s="44">
        <v>23.0</v>
      </c>
      <c r="C136" s="12" t="s">
        <v>48</v>
      </c>
      <c r="D136" s="13" t="s">
        <v>18</v>
      </c>
      <c r="E136" s="44" t="s">
        <v>19</v>
      </c>
      <c r="F136" s="44">
        <v>2024.0</v>
      </c>
      <c r="G136" s="49">
        <f t="shared" si="18"/>
        <v>0.00176</v>
      </c>
      <c r="H136" s="49">
        <f t="shared" si="19"/>
        <v>0.00168</v>
      </c>
      <c r="I136" s="49">
        <f t="shared" si="20"/>
        <v>0.0014</v>
      </c>
      <c r="J136" s="49">
        <f t="shared" si="21"/>
        <v>0.00168</v>
      </c>
      <c r="K136" s="49">
        <f t="shared" si="22"/>
        <v>0.0014</v>
      </c>
      <c r="L136" s="49">
        <f t="shared" si="23"/>
        <v>0.00095</v>
      </c>
      <c r="M136" s="49">
        <f t="shared" si="24"/>
        <v>0.00105</v>
      </c>
      <c r="N136" s="49">
        <f t="shared" si="25"/>
        <v>0.0011</v>
      </c>
      <c r="O136" s="49">
        <f t="shared" si="26"/>
        <v>0.0016</v>
      </c>
      <c r="P136" s="49">
        <f t="shared" si="27"/>
        <v>0.0021</v>
      </c>
      <c r="Q136" s="49">
        <f t="shared" si="28"/>
        <v>0.00152</v>
      </c>
      <c r="R136" s="49">
        <f t="shared" si="29"/>
        <v>0.001</v>
      </c>
      <c r="S136" s="49">
        <f t="shared" si="30"/>
        <v>0.00105</v>
      </c>
      <c r="T136" s="49">
        <f t="shared" si="31"/>
        <v>0.00088</v>
      </c>
      <c r="U136" s="49">
        <f t="shared" si="32"/>
        <v>0.00084</v>
      </c>
      <c r="V136" s="49">
        <f t="shared" si="33"/>
        <v>0.02001</v>
      </c>
      <c r="W136" s="49">
        <f t="shared" si="34"/>
        <v>0.9460992908</v>
      </c>
      <c r="X136" s="43"/>
      <c r="Y136" s="1" t="s">
        <v>138</v>
      </c>
      <c r="Z136" s="56">
        <v>0.02113</v>
      </c>
      <c r="AA136" s="56">
        <v>0.9092</v>
      </c>
      <c r="AB136" s="56">
        <v>23.0</v>
      </c>
    </row>
    <row r="137">
      <c r="A137" s="43"/>
      <c r="B137" s="44">
        <v>24.0</v>
      </c>
      <c r="C137" s="12" t="s">
        <v>49</v>
      </c>
      <c r="D137" s="4" t="s">
        <v>23</v>
      </c>
      <c r="E137" s="44" t="s">
        <v>26</v>
      </c>
      <c r="F137" s="44">
        <v>2024.0</v>
      </c>
      <c r="G137" s="49">
        <f t="shared" si="18"/>
        <v>0.0016</v>
      </c>
      <c r="H137" s="49">
        <f t="shared" si="19"/>
        <v>0.00168</v>
      </c>
      <c r="I137" s="49">
        <f t="shared" si="20"/>
        <v>0.00147</v>
      </c>
      <c r="J137" s="49">
        <f t="shared" si="21"/>
        <v>0.00168</v>
      </c>
      <c r="K137" s="49">
        <f t="shared" si="22"/>
        <v>0.0014</v>
      </c>
      <c r="L137" s="49">
        <f t="shared" si="23"/>
        <v>0.0011</v>
      </c>
      <c r="M137" s="49">
        <f t="shared" si="24"/>
        <v>0.0011</v>
      </c>
      <c r="N137" s="49">
        <f t="shared" si="25"/>
        <v>0.001</v>
      </c>
      <c r="O137" s="49">
        <f t="shared" si="26"/>
        <v>0.0016</v>
      </c>
      <c r="P137" s="49">
        <f t="shared" si="27"/>
        <v>0.0021</v>
      </c>
      <c r="Q137" s="49">
        <f t="shared" si="28"/>
        <v>0.00152</v>
      </c>
      <c r="R137" s="49">
        <f t="shared" si="29"/>
        <v>0.00105</v>
      </c>
      <c r="S137" s="49">
        <f t="shared" si="30"/>
        <v>0.00105</v>
      </c>
      <c r="T137" s="49">
        <f t="shared" si="31"/>
        <v>0.00084</v>
      </c>
      <c r="U137" s="49">
        <f t="shared" si="32"/>
        <v>0.00084</v>
      </c>
      <c r="V137" s="49">
        <f t="shared" si="33"/>
        <v>0.02003</v>
      </c>
      <c r="W137" s="49">
        <f t="shared" si="34"/>
        <v>0.9470449173</v>
      </c>
      <c r="X137" s="43"/>
      <c r="Y137" s="1" t="s">
        <v>139</v>
      </c>
      <c r="Z137" s="56">
        <v>0.02102</v>
      </c>
      <c r="AA137" s="56">
        <v>0.9045</v>
      </c>
      <c r="AB137" s="56">
        <v>24.0</v>
      </c>
    </row>
    <row r="138">
      <c r="A138" s="43"/>
      <c r="B138" s="44">
        <v>25.0</v>
      </c>
      <c r="C138" s="12" t="s">
        <v>50</v>
      </c>
      <c r="D138" s="4" t="s">
        <v>18</v>
      </c>
      <c r="E138" s="44" t="s">
        <v>31</v>
      </c>
      <c r="F138" s="44">
        <v>2024.0</v>
      </c>
      <c r="G138" s="49">
        <f t="shared" si="18"/>
        <v>0.00168</v>
      </c>
      <c r="H138" s="49">
        <f t="shared" si="19"/>
        <v>0.0016</v>
      </c>
      <c r="I138" s="49">
        <f t="shared" si="20"/>
        <v>0.00147</v>
      </c>
      <c r="J138" s="49">
        <f t="shared" si="21"/>
        <v>0.0016</v>
      </c>
      <c r="K138" s="49">
        <f t="shared" si="22"/>
        <v>0.0014</v>
      </c>
      <c r="L138" s="49">
        <f t="shared" si="23"/>
        <v>0.0011</v>
      </c>
      <c r="M138" s="49">
        <f t="shared" si="24"/>
        <v>0.00105</v>
      </c>
      <c r="N138" s="49">
        <f t="shared" si="25"/>
        <v>0.00105</v>
      </c>
      <c r="O138" s="49">
        <f t="shared" si="26"/>
        <v>0.00168</v>
      </c>
      <c r="P138" s="49">
        <f t="shared" si="27"/>
        <v>0.002</v>
      </c>
      <c r="Q138" s="49">
        <f t="shared" si="28"/>
        <v>0.00152</v>
      </c>
      <c r="R138" s="49">
        <f t="shared" si="29"/>
        <v>0.001</v>
      </c>
      <c r="S138" s="49">
        <f t="shared" si="30"/>
        <v>0.001</v>
      </c>
      <c r="T138" s="49">
        <f t="shared" si="31"/>
        <v>0.00084</v>
      </c>
      <c r="U138" s="49">
        <f t="shared" si="32"/>
        <v>0.00084</v>
      </c>
      <c r="V138" s="49">
        <f t="shared" si="33"/>
        <v>0.01983</v>
      </c>
      <c r="W138" s="49">
        <f t="shared" si="34"/>
        <v>0.9375886525</v>
      </c>
      <c r="X138" s="43"/>
      <c r="Y138" s="1" t="s">
        <v>140</v>
      </c>
      <c r="Z138" s="56">
        <v>0.02096</v>
      </c>
      <c r="AA138" s="56">
        <v>0.9019</v>
      </c>
      <c r="AB138" s="56">
        <v>25.0</v>
      </c>
    </row>
    <row r="139">
      <c r="A139" s="43"/>
      <c r="B139" s="44">
        <v>26.0</v>
      </c>
      <c r="C139" s="12" t="s">
        <v>51</v>
      </c>
      <c r="D139" s="13" t="s">
        <v>23</v>
      </c>
      <c r="E139" s="44" t="s">
        <v>31</v>
      </c>
      <c r="F139" s="44">
        <v>2024.0</v>
      </c>
      <c r="G139" s="49">
        <f t="shared" si="18"/>
        <v>0.00176</v>
      </c>
      <c r="H139" s="49">
        <f t="shared" si="19"/>
        <v>0.00168</v>
      </c>
      <c r="I139" s="49">
        <f t="shared" si="20"/>
        <v>0.00147</v>
      </c>
      <c r="J139" s="49">
        <f t="shared" si="21"/>
        <v>0.00168</v>
      </c>
      <c r="K139" s="49">
        <f t="shared" si="22"/>
        <v>0.00147</v>
      </c>
      <c r="L139" s="49">
        <f t="shared" si="23"/>
        <v>0.00105</v>
      </c>
      <c r="M139" s="49">
        <f t="shared" si="24"/>
        <v>0.0009</v>
      </c>
      <c r="N139" s="49">
        <f t="shared" si="25"/>
        <v>0.0011</v>
      </c>
      <c r="O139" s="49">
        <f t="shared" si="26"/>
        <v>0.0016</v>
      </c>
      <c r="P139" s="49">
        <f t="shared" si="27"/>
        <v>0.0021</v>
      </c>
      <c r="Q139" s="49">
        <f t="shared" si="28"/>
        <v>0.002</v>
      </c>
      <c r="R139" s="49">
        <f t="shared" si="29"/>
        <v>0.00105</v>
      </c>
      <c r="S139" s="49">
        <f t="shared" si="30"/>
        <v>0.0011</v>
      </c>
      <c r="T139" s="49">
        <f t="shared" si="31"/>
        <v>0.00088</v>
      </c>
      <c r="U139" s="49">
        <f t="shared" si="32"/>
        <v>0.00084</v>
      </c>
      <c r="V139" s="49">
        <f t="shared" si="33"/>
        <v>0.02068</v>
      </c>
      <c r="W139" s="49">
        <f t="shared" si="34"/>
        <v>0.9777777778</v>
      </c>
      <c r="X139" s="43"/>
      <c r="Y139" s="1" t="s">
        <v>141</v>
      </c>
      <c r="Z139" s="56">
        <v>0.02088</v>
      </c>
      <c r="AA139" s="56">
        <v>0.8985</v>
      </c>
      <c r="AB139" s="56">
        <v>26.0</v>
      </c>
    </row>
    <row r="140">
      <c r="A140" s="43"/>
      <c r="B140" s="44">
        <v>27.0</v>
      </c>
      <c r="C140" s="12" t="s">
        <v>52</v>
      </c>
      <c r="D140" s="4" t="s">
        <v>18</v>
      </c>
      <c r="E140" s="44" t="s">
        <v>21</v>
      </c>
      <c r="F140" s="44">
        <v>2024.0</v>
      </c>
      <c r="G140" s="49">
        <f t="shared" si="18"/>
        <v>0.00168</v>
      </c>
      <c r="H140" s="49">
        <f t="shared" si="19"/>
        <v>0.00168</v>
      </c>
      <c r="I140" s="49">
        <f t="shared" si="20"/>
        <v>0.0014</v>
      </c>
      <c r="J140" s="49">
        <f t="shared" si="21"/>
        <v>0.00168</v>
      </c>
      <c r="K140" s="49">
        <f t="shared" si="22"/>
        <v>0.0014</v>
      </c>
      <c r="L140" s="49">
        <f t="shared" si="23"/>
        <v>0.001</v>
      </c>
      <c r="M140" s="49">
        <f t="shared" si="24"/>
        <v>0.00105</v>
      </c>
      <c r="N140" s="49">
        <f t="shared" si="25"/>
        <v>0.001</v>
      </c>
      <c r="O140" s="49">
        <f t="shared" si="26"/>
        <v>0.00168</v>
      </c>
      <c r="P140" s="49">
        <f t="shared" si="27"/>
        <v>0.0021</v>
      </c>
      <c r="Q140" s="49">
        <f t="shared" si="28"/>
        <v>0.002</v>
      </c>
      <c r="R140" s="49">
        <f t="shared" si="29"/>
        <v>0.00105</v>
      </c>
      <c r="S140" s="49">
        <f t="shared" si="30"/>
        <v>0.0011</v>
      </c>
      <c r="T140" s="49">
        <f t="shared" si="31"/>
        <v>0.00088</v>
      </c>
      <c r="U140" s="49">
        <f t="shared" si="32"/>
        <v>0.0008</v>
      </c>
      <c r="V140" s="49">
        <f t="shared" si="33"/>
        <v>0.0205</v>
      </c>
      <c r="W140" s="49">
        <f t="shared" si="34"/>
        <v>0.9692671395</v>
      </c>
      <c r="X140" s="43"/>
      <c r="Y140" s="1" t="s">
        <v>142</v>
      </c>
      <c r="Z140" s="56">
        <v>0.02083</v>
      </c>
      <c r="AA140" s="56">
        <v>0.8963</v>
      </c>
      <c r="AB140" s="56">
        <v>27.0</v>
      </c>
    </row>
    <row r="141">
      <c r="A141" s="43"/>
      <c r="B141" s="44">
        <v>28.0</v>
      </c>
      <c r="C141" s="12" t="s">
        <v>53</v>
      </c>
      <c r="D141" s="4" t="s">
        <v>18</v>
      </c>
      <c r="E141" s="44" t="s">
        <v>31</v>
      </c>
      <c r="F141" s="44">
        <v>2024.0</v>
      </c>
      <c r="G141" s="49">
        <f t="shared" si="18"/>
        <v>0.0016</v>
      </c>
      <c r="H141" s="49">
        <f t="shared" si="19"/>
        <v>0.0016</v>
      </c>
      <c r="I141" s="49">
        <f t="shared" si="20"/>
        <v>0.0014</v>
      </c>
      <c r="J141" s="49">
        <f t="shared" si="21"/>
        <v>0.00152</v>
      </c>
      <c r="K141" s="49">
        <f t="shared" si="22"/>
        <v>0.00161</v>
      </c>
      <c r="L141" s="49">
        <f t="shared" si="23"/>
        <v>0.0011</v>
      </c>
      <c r="M141" s="49">
        <f t="shared" si="24"/>
        <v>0.00105</v>
      </c>
      <c r="N141" s="49">
        <f t="shared" si="25"/>
        <v>0.001</v>
      </c>
      <c r="O141" s="49">
        <f t="shared" si="26"/>
        <v>0.0016</v>
      </c>
      <c r="P141" s="49">
        <f t="shared" si="27"/>
        <v>0.002</v>
      </c>
      <c r="Q141" s="49">
        <f t="shared" si="28"/>
        <v>0.00176</v>
      </c>
      <c r="R141" s="49">
        <f t="shared" si="29"/>
        <v>0.001</v>
      </c>
      <c r="S141" s="49">
        <f t="shared" si="30"/>
        <v>0.001</v>
      </c>
      <c r="T141" s="49">
        <f t="shared" si="31"/>
        <v>0.00076</v>
      </c>
      <c r="U141" s="49">
        <f t="shared" si="32"/>
        <v>0.0008</v>
      </c>
      <c r="V141" s="49">
        <f t="shared" si="33"/>
        <v>0.0198</v>
      </c>
      <c r="W141" s="49">
        <f t="shared" si="34"/>
        <v>0.9361702128</v>
      </c>
      <c r="X141" s="43"/>
      <c r="Y141" s="1" t="s">
        <v>143</v>
      </c>
      <c r="Z141" s="56">
        <v>0.02078</v>
      </c>
      <c r="AA141" s="56">
        <v>0.8942</v>
      </c>
      <c r="AB141" s="56">
        <v>28.0</v>
      </c>
    </row>
    <row r="142">
      <c r="A142" s="43"/>
      <c r="B142" s="44">
        <v>29.0</v>
      </c>
      <c r="C142" s="12" t="s">
        <v>54</v>
      </c>
      <c r="D142" s="4" t="s">
        <v>23</v>
      </c>
      <c r="E142" s="44" t="s">
        <v>21</v>
      </c>
      <c r="F142" s="44">
        <v>2024.0</v>
      </c>
      <c r="G142" s="49">
        <f t="shared" si="18"/>
        <v>0.0016</v>
      </c>
      <c r="H142" s="49">
        <f t="shared" si="19"/>
        <v>0.0016</v>
      </c>
      <c r="I142" s="49">
        <f t="shared" si="20"/>
        <v>0.00147</v>
      </c>
      <c r="J142" s="49">
        <f t="shared" si="21"/>
        <v>0.0016</v>
      </c>
      <c r="K142" s="49">
        <f t="shared" si="22"/>
        <v>0.00133</v>
      </c>
      <c r="L142" s="49">
        <f t="shared" si="23"/>
        <v>0.001</v>
      </c>
      <c r="M142" s="49">
        <f t="shared" si="24"/>
        <v>0.00105</v>
      </c>
      <c r="N142" s="49">
        <f t="shared" si="25"/>
        <v>0.001</v>
      </c>
      <c r="O142" s="49">
        <f t="shared" si="26"/>
        <v>0.0016</v>
      </c>
      <c r="P142" s="49">
        <f t="shared" si="27"/>
        <v>0.002</v>
      </c>
      <c r="Q142" s="49">
        <f t="shared" si="28"/>
        <v>0.00152</v>
      </c>
      <c r="R142" s="49">
        <f t="shared" si="29"/>
        <v>0.001</v>
      </c>
      <c r="S142" s="49">
        <f t="shared" si="30"/>
        <v>0.001</v>
      </c>
      <c r="T142" s="49">
        <f t="shared" si="31"/>
        <v>0.0008</v>
      </c>
      <c r="U142" s="49">
        <f t="shared" si="32"/>
        <v>0.0008</v>
      </c>
      <c r="V142" s="49">
        <f t="shared" si="33"/>
        <v>0.01937</v>
      </c>
      <c r="W142" s="49">
        <f t="shared" si="34"/>
        <v>0.9158392435</v>
      </c>
      <c r="X142" s="43"/>
      <c r="Y142" s="1" t="s">
        <v>144</v>
      </c>
      <c r="Z142" s="56">
        <v>0.02076</v>
      </c>
      <c r="AA142" s="56">
        <v>0.8933</v>
      </c>
      <c r="AB142" s="56">
        <v>29.0</v>
      </c>
    </row>
    <row r="143">
      <c r="A143" s="43"/>
      <c r="B143" s="44">
        <v>30.0</v>
      </c>
      <c r="C143" s="12" t="s">
        <v>55</v>
      </c>
      <c r="D143" s="13" t="s">
        <v>18</v>
      </c>
      <c r="E143" s="44" t="s">
        <v>38</v>
      </c>
      <c r="F143" s="44">
        <v>2023.0</v>
      </c>
      <c r="G143" s="49">
        <f t="shared" si="18"/>
        <v>0.00168</v>
      </c>
      <c r="H143" s="49">
        <f t="shared" si="19"/>
        <v>0.0016</v>
      </c>
      <c r="I143" s="49">
        <f t="shared" si="20"/>
        <v>0.0014</v>
      </c>
      <c r="J143" s="49">
        <f t="shared" si="21"/>
        <v>0.00168</v>
      </c>
      <c r="K143" s="49">
        <f t="shared" si="22"/>
        <v>0.0014</v>
      </c>
      <c r="L143" s="49">
        <f t="shared" si="23"/>
        <v>0.001</v>
      </c>
      <c r="M143" s="49">
        <f t="shared" si="24"/>
        <v>0.00105</v>
      </c>
      <c r="N143" s="49">
        <f t="shared" si="25"/>
        <v>0.00105</v>
      </c>
      <c r="O143" s="49">
        <f t="shared" si="26"/>
        <v>0.00168</v>
      </c>
      <c r="P143" s="49">
        <f t="shared" si="27"/>
        <v>0.002</v>
      </c>
      <c r="Q143" s="49">
        <f t="shared" si="28"/>
        <v>0.00152</v>
      </c>
      <c r="R143" s="49">
        <f t="shared" si="29"/>
        <v>0.001</v>
      </c>
      <c r="S143" s="49">
        <f t="shared" si="30"/>
        <v>0.00105</v>
      </c>
      <c r="T143" s="49">
        <f t="shared" si="31"/>
        <v>0.0008</v>
      </c>
      <c r="U143" s="49">
        <f t="shared" si="32"/>
        <v>0.00084</v>
      </c>
      <c r="V143" s="49">
        <f t="shared" si="33"/>
        <v>0.01975</v>
      </c>
      <c r="W143" s="49">
        <f t="shared" si="34"/>
        <v>0.9338061466</v>
      </c>
      <c r="X143" s="43"/>
      <c r="Y143" s="1" t="s">
        <v>145</v>
      </c>
      <c r="Z143" s="56">
        <v>0.02068</v>
      </c>
      <c r="AA143" s="56">
        <v>0.8898</v>
      </c>
      <c r="AB143" s="56">
        <v>30.0</v>
      </c>
    </row>
    <row r="144">
      <c r="A144" s="43"/>
      <c r="B144" s="44">
        <v>31.0</v>
      </c>
      <c r="C144" s="12" t="s">
        <v>56</v>
      </c>
      <c r="D144" s="4" t="s">
        <v>23</v>
      </c>
      <c r="E144" s="44" t="s">
        <v>26</v>
      </c>
      <c r="F144" s="44">
        <v>2024.0</v>
      </c>
      <c r="G144" s="49">
        <f t="shared" si="18"/>
        <v>0.00152</v>
      </c>
      <c r="H144" s="49">
        <f t="shared" si="19"/>
        <v>0.0016</v>
      </c>
      <c r="I144" s="49">
        <f t="shared" si="20"/>
        <v>0.0014</v>
      </c>
      <c r="J144" s="49">
        <f t="shared" si="21"/>
        <v>0.0016</v>
      </c>
      <c r="K144" s="49">
        <f t="shared" si="22"/>
        <v>0.0014</v>
      </c>
      <c r="L144" s="49">
        <f t="shared" si="23"/>
        <v>0.00095</v>
      </c>
      <c r="M144" s="49">
        <f t="shared" si="24"/>
        <v>0.00095</v>
      </c>
      <c r="N144" s="49">
        <f t="shared" si="25"/>
        <v>0.001</v>
      </c>
      <c r="O144" s="49">
        <f t="shared" si="26"/>
        <v>0.0016</v>
      </c>
      <c r="P144" s="49">
        <f t="shared" si="27"/>
        <v>0.002</v>
      </c>
      <c r="Q144" s="49">
        <f t="shared" si="28"/>
        <v>0.00152</v>
      </c>
      <c r="R144" s="49">
        <f t="shared" si="29"/>
        <v>0.001</v>
      </c>
      <c r="S144" s="49">
        <f t="shared" si="30"/>
        <v>0.001</v>
      </c>
      <c r="T144" s="49">
        <f t="shared" si="31"/>
        <v>0.0008</v>
      </c>
      <c r="U144" s="49">
        <f t="shared" si="32"/>
        <v>0.00084</v>
      </c>
      <c r="V144" s="49">
        <f t="shared" si="33"/>
        <v>0.01918</v>
      </c>
      <c r="W144" s="49">
        <f t="shared" si="34"/>
        <v>0.906855792</v>
      </c>
      <c r="X144" s="43"/>
      <c r="Y144" s="1" t="s">
        <v>146</v>
      </c>
      <c r="Z144" s="56">
        <v>0.02066</v>
      </c>
      <c r="AA144" s="56">
        <v>0.889</v>
      </c>
      <c r="AB144" s="56">
        <v>31.0</v>
      </c>
    </row>
    <row r="145">
      <c r="A145" s="43"/>
      <c r="B145" s="44">
        <v>32.0</v>
      </c>
      <c r="C145" s="12" t="s">
        <v>57</v>
      </c>
      <c r="D145" s="4" t="s">
        <v>23</v>
      </c>
      <c r="E145" s="44" t="s">
        <v>26</v>
      </c>
      <c r="F145" s="44">
        <v>2024.0</v>
      </c>
      <c r="G145" s="49">
        <f t="shared" si="18"/>
        <v>0.0016</v>
      </c>
      <c r="H145" s="49">
        <f t="shared" si="19"/>
        <v>0.0016</v>
      </c>
      <c r="I145" s="49">
        <f t="shared" si="20"/>
        <v>0.0014</v>
      </c>
      <c r="J145" s="49">
        <f t="shared" si="21"/>
        <v>0.00168</v>
      </c>
      <c r="K145" s="49">
        <f t="shared" si="22"/>
        <v>0.0014</v>
      </c>
      <c r="L145" s="49">
        <f t="shared" si="23"/>
        <v>0.00105</v>
      </c>
      <c r="M145" s="49">
        <f t="shared" si="24"/>
        <v>0.001</v>
      </c>
      <c r="N145" s="49">
        <f t="shared" si="25"/>
        <v>0.001</v>
      </c>
      <c r="O145" s="49">
        <f t="shared" si="26"/>
        <v>0.0016</v>
      </c>
      <c r="P145" s="49">
        <f t="shared" si="27"/>
        <v>0.002</v>
      </c>
      <c r="Q145" s="49">
        <f t="shared" si="28"/>
        <v>0.00152</v>
      </c>
      <c r="R145" s="49">
        <f t="shared" si="29"/>
        <v>0.001</v>
      </c>
      <c r="S145" s="49">
        <f t="shared" si="30"/>
        <v>0.00105</v>
      </c>
      <c r="T145" s="49">
        <f t="shared" si="31"/>
        <v>0.00084</v>
      </c>
      <c r="U145" s="49">
        <f t="shared" si="32"/>
        <v>0.00084</v>
      </c>
      <c r="V145" s="49">
        <f t="shared" si="33"/>
        <v>0.01958</v>
      </c>
      <c r="W145" s="49">
        <f t="shared" si="34"/>
        <v>0.9257683215</v>
      </c>
      <c r="X145" s="43"/>
      <c r="Y145" s="1" t="s">
        <v>147</v>
      </c>
      <c r="Z145" s="56">
        <v>0.02061</v>
      </c>
      <c r="AA145" s="56">
        <v>0.8868</v>
      </c>
      <c r="AB145" s="56">
        <v>32.0</v>
      </c>
    </row>
    <row r="146">
      <c r="A146" s="43"/>
      <c r="B146" s="44">
        <v>33.0</v>
      </c>
      <c r="C146" s="12" t="s">
        <v>58</v>
      </c>
      <c r="D146" s="4" t="s">
        <v>18</v>
      </c>
      <c r="E146" s="44" t="s">
        <v>38</v>
      </c>
      <c r="F146" s="44">
        <v>2023.0</v>
      </c>
      <c r="G146" s="49">
        <f t="shared" si="18"/>
        <v>0.00168</v>
      </c>
      <c r="H146" s="49">
        <f t="shared" si="19"/>
        <v>0.0016</v>
      </c>
      <c r="I146" s="49">
        <f t="shared" si="20"/>
        <v>0.00147</v>
      </c>
      <c r="J146" s="49">
        <f t="shared" si="21"/>
        <v>0.00168</v>
      </c>
      <c r="K146" s="49">
        <f t="shared" si="22"/>
        <v>0.00161</v>
      </c>
      <c r="L146" s="49">
        <f t="shared" si="23"/>
        <v>0.0011</v>
      </c>
      <c r="M146" s="49">
        <f t="shared" si="24"/>
        <v>0.00105</v>
      </c>
      <c r="N146" s="49">
        <f t="shared" si="25"/>
        <v>0.001</v>
      </c>
      <c r="O146" s="49">
        <f t="shared" si="26"/>
        <v>0.00168</v>
      </c>
      <c r="P146" s="49">
        <f t="shared" si="27"/>
        <v>0.0021</v>
      </c>
      <c r="Q146" s="49">
        <f t="shared" si="28"/>
        <v>0.00152</v>
      </c>
      <c r="R146" s="49">
        <f t="shared" si="29"/>
        <v>0.00105</v>
      </c>
      <c r="S146" s="49">
        <f t="shared" si="30"/>
        <v>0.001</v>
      </c>
      <c r="T146" s="49">
        <f t="shared" si="31"/>
        <v>0.0008</v>
      </c>
      <c r="U146" s="49">
        <f t="shared" si="32"/>
        <v>0.0008</v>
      </c>
      <c r="V146" s="49">
        <f t="shared" si="33"/>
        <v>0.02014</v>
      </c>
      <c r="W146" s="49">
        <f t="shared" si="34"/>
        <v>0.9522458629</v>
      </c>
      <c r="X146" s="43"/>
      <c r="Y146" s="1" t="s">
        <v>148</v>
      </c>
      <c r="Z146" s="56">
        <v>0.02058</v>
      </c>
      <c r="AA146" s="56">
        <v>0.8855</v>
      </c>
      <c r="AB146" s="56">
        <v>33.0</v>
      </c>
    </row>
    <row r="147">
      <c r="A147" s="43"/>
      <c r="B147" s="44">
        <v>34.0</v>
      </c>
      <c r="C147" s="12" t="s">
        <v>59</v>
      </c>
      <c r="D147" s="4" t="s">
        <v>23</v>
      </c>
      <c r="E147" s="44" t="s">
        <v>29</v>
      </c>
      <c r="F147" s="44">
        <v>2023.0</v>
      </c>
      <c r="G147" s="49">
        <f t="shared" si="18"/>
        <v>0.0016</v>
      </c>
      <c r="H147" s="49">
        <f t="shared" si="19"/>
        <v>0.0016</v>
      </c>
      <c r="I147" s="49">
        <f t="shared" si="20"/>
        <v>0.0014</v>
      </c>
      <c r="J147" s="49">
        <f t="shared" si="21"/>
        <v>0.0016</v>
      </c>
      <c r="K147" s="49">
        <f t="shared" si="22"/>
        <v>0.0014</v>
      </c>
      <c r="L147" s="49">
        <f t="shared" si="23"/>
        <v>0.00095</v>
      </c>
      <c r="M147" s="49">
        <f t="shared" si="24"/>
        <v>0.00105</v>
      </c>
      <c r="N147" s="49">
        <f t="shared" si="25"/>
        <v>0.00105</v>
      </c>
      <c r="O147" s="49">
        <f t="shared" si="26"/>
        <v>0.00168</v>
      </c>
      <c r="P147" s="49">
        <f t="shared" si="27"/>
        <v>0.0021</v>
      </c>
      <c r="Q147" s="49">
        <f t="shared" si="28"/>
        <v>0.00152</v>
      </c>
      <c r="R147" s="49">
        <f t="shared" si="29"/>
        <v>0.00105</v>
      </c>
      <c r="S147" s="49">
        <f t="shared" si="30"/>
        <v>0.00105</v>
      </c>
      <c r="T147" s="49">
        <f t="shared" si="31"/>
        <v>0.0008</v>
      </c>
      <c r="U147" s="49">
        <f t="shared" si="32"/>
        <v>0.0008</v>
      </c>
      <c r="V147" s="49">
        <f t="shared" si="33"/>
        <v>0.01965</v>
      </c>
      <c r="W147" s="49">
        <f t="shared" si="34"/>
        <v>0.9290780142</v>
      </c>
      <c r="X147" s="43"/>
      <c r="Y147" s="1" t="s">
        <v>149</v>
      </c>
      <c r="Z147" s="56">
        <v>0.02054</v>
      </c>
      <c r="AA147" s="56">
        <v>0.8838</v>
      </c>
      <c r="AB147" s="56">
        <v>34.0</v>
      </c>
    </row>
    <row r="148">
      <c r="A148" s="43"/>
      <c r="B148" s="44">
        <v>35.0</v>
      </c>
      <c r="C148" s="12" t="s">
        <v>60</v>
      </c>
      <c r="D148" s="13" t="s">
        <v>18</v>
      </c>
      <c r="E148" s="44" t="s">
        <v>19</v>
      </c>
      <c r="F148" s="44">
        <v>2024.0</v>
      </c>
      <c r="G148" s="49">
        <f t="shared" si="18"/>
        <v>0.00168</v>
      </c>
      <c r="H148" s="49">
        <f t="shared" si="19"/>
        <v>0.00168</v>
      </c>
      <c r="I148" s="49">
        <f t="shared" si="20"/>
        <v>0.00147</v>
      </c>
      <c r="J148" s="49">
        <f t="shared" si="21"/>
        <v>0.00168</v>
      </c>
      <c r="K148" s="49">
        <f t="shared" si="22"/>
        <v>0.00147</v>
      </c>
      <c r="L148" s="49">
        <f t="shared" si="23"/>
        <v>0.00105</v>
      </c>
      <c r="M148" s="49">
        <f t="shared" si="24"/>
        <v>0.00105</v>
      </c>
      <c r="N148" s="49">
        <f t="shared" si="25"/>
        <v>0.001</v>
      </c>
      <c r="O148" s="49">
        <f t="shared" si="26"/>
        <v>0.0016</v>
      </c>
      <c r="P148" s="49">
        <f t="shared" si="27"/>
        <v>0.0021</v>
      </c>
      <c r="Q148" s="49">
        <f t="shared" si="28"/>
        <v>0.00176</v>
      </c>
      <c r="R148" s="49">
        <f t="shared" si="29"/>
        <v>0.00105</v>
      </c>
      <c r="S148" s="49">
        <f t="shared" si="30"/>
        <v>0.0011</v>
      </c>
      <c r="T148" s="49">
        <f t="shared" si="31"/>
        <v>0.00088</v>
      </c>
      <c r="U148" s="49">
        <f t="shared" si="32"/>
        <v>0.00084</v>
      </c>
      <c r="V148" s="49">
        <f t="shared" si="33"/>
        <v>0.02041</v>
      </c>
      <c r="W148" s="49">
        <f t="shared" si="34"/>
        <v>0.9650118203</v>
      </c>
      <c r="X148" s="43"/>
      <c r="Y148" s="1" t="s">
        <v>150</v>
      </c>
      <c r="Z148" s="56">
        <v>0.02051</v>
      </c>
      <c r="AA148" s="56">
        <v>0.8825</v>
      </c>
      <c r="AB148" s="56">
        <v>35.0</v>
      </c>
    </row>
    <row r="149">
      <c r="A149" s="43"/>
      <c r="B149" s="44">
        <v>36.0</v>
      </c>
      <c r="C149" s="12" t="s">
        <v>61</v>
      </c>
      <c r="D149" s="4" t="s">
        <v>23</v>
      </c>
      <c r="E149" s="44" t="s">
        <v>24</v>
      </c>
      <c r="F149" s="44">
        <v>2024.0</v>
      </c>
      <c r="G149" s="49">
        <f t="shared" si="18"/>
        <v>0.0016</v>
      </c>
      <c r="H149" s="49">
        <f t="shared" si="19"/>
        <v>0.0016</v>
      </c>
      <c r="I149" s="49">
        <f t="shared" si="20"/>
        <v>0.0014</v>
      </c>
      <c r="J149" s="49">
        <f t="shared" si="21"/>
        <v>0.0016</v>
      </c>
      <c r="K149" s="49">
        <f t="shared" si="22"/>
        <v>0.0014</v>
      </c>
      <c r="L149" s="49">
        <f t="shared" si="23"/>
        <v>0.001</v>
      </c>
      <c r="M149" s="49">
        <f t="shared" si="24"/>
        <v>0.00105</v>
      </c>
      <c r="N149" s="49">
        <f t="shared" si="25"/>
        <v>0.001</v>
      </c>
      <c r="O149" s="49">
        <f t="shared" si="26"/>
        <v>0.0016</v>
      </c>
      <c r="P149" s="49">
        <f t="shared" si="27"/>
        <v>0.002</v>
      </c>
      <c r="Q149" s="49">
        <f t="shared" si="28"/>
        <v>0.00152</v>
      </c>
      <c r="R149" s="49">
        <f t="shared" si="29"/>
        <v>0.001</v>
      </c>
      <c r="S149" s="49">
        <f t="shared" si="30"/>
        <v>0.001</v>
      </c>
      <c r="T149" s="49">
        <f t="shared" si="31"/>
        <v>0.00084</v>
      </c>
      <c r="U149" s="49">
        <f t="shared" si="32"/>
        <v>0.0008</v>
      </c>
      <c r="V149" s="49">
        <f t="shared" si="33"/>
        <v>0.01941</v>
      </c>
      <c r="W149" s="49">
        <f t="shared" si="34"/>
        <v>0.9177304965</v>
      </c>
      <c r="X149" s="43"/>
      <c r="Y149" s="1" t="s">
        <v>151</v>
      </c>
      <c r="Z149" s="56">
        <v>0.02047</v>
      </c>
      <c r="AA149" s="56">
        <v>0.8808</v>
      </c>
      <c r="AB149" s="56">
        <v>36.0</v>
      </c>
    </row>
    <row r="150">
      <c r="A150" s="43"/>
      <c r="B150" s="44">
        <v>37.0</v>
      </c>
      <c r="C150" s="12" t="s">
        <v>62</v>
      </c>
      <c r="D150" s="4" t="s">
        <v>18</v>
      </c>
      <c r="E150" s="44" t="s">
        <v>38</v>
      </c>
      <c r="F150" s="44">
        <v>2023.0</v>
      </c>
      <c r="G150" s="49">
        <f t="shared" si="18"/>
        <v>0.0016</v>
      </c>
      <c r="H150" s="49">
        <f t="shared" si="19"/>
        <v>0.00144</v>
      </c>
      <c r="I150" s="49">
        <f t="shared" si="20"/>
        <v>0.0014</v>
      </c>
      <c r="J150" s="49">
        <f t="shared" si="21"/>
        <v>0.00152</v>
      </c>
      <c r="K150" s="49">
        <f t="shared" si="22"/>
        <v>0.0014</v>
      </c>
      <c r="L150" s="49">
        <f t="shared" si="23"/>
        <v>0.0011</v>
      </c>
      <c r="M150" s="49">
        <f t="shared" si="24"/>
        <v>0.00095</v>
      </c>
      <c r="N150" s="49">
        <f t="shared" si="25"/>
        <v>0.00095</v>
      </c>
      <c r="O150" s="49">
        <f t="shared" si="26"/>
        <v>0.0016</v>
      </c>
      <c r="P150" s="49">
        <f t="shared" si="27"/>
        <v>0.0021</v>
      </c>
      <c r="Q150" s="49">
        <f t="shared" si="28"/>
        <v>0.00152</v>
      </c>
      <c r="R150" s="49">
        <f t="shared" si="29"/>
        <v>0.00105</v>
      </c>
      <c r="S150" s="49">
        <f t="shared" si="30"/>
        <v>0.001</v>
      </c>
      <c r="T150" s="49">
        <f t="shared" si="31"/>
        <v>0.00068</v>
      </c>
      <c r="U150" s="49">
        <f t="shared" si="32"/>
        <v>0.0008</v>
      </c>
      <c r="V150" s="49">
        <f t="shared" si="33"/>
        <v>0.01911</v>
      </c>
      <c r="W150" s="49">
        <f t="shared" si="34"/>
        <v>0.9035460993</v>
      </c>
      <c r="X150" s="43"/>
      <c r="Y150" s="1" t="s">
        <v>152</v>
      </c>
      <c r="Z150" s="56">
        <v>0.02034</v>
      </c>
      <c r="AA150" s="56">
        <v>0.8752</v>
      </c>
      <c r="AB150" s="56">
        <v>37.0</v>
      </c>
    </row>
    <row r="151">
      <c r="A151" s="43"/>
      <c r="B151" s="44">
        <v>38.0</v>
      </c>
      <c r="C151" s="12" t="s">
        <v>63</v>
      </c>
      <c r="D151" s="4" t="s">
        <v>23</v>
      </c>
      <c r="E151" s="44" t="s">
        <v>19</v>
      </c>
      <c r="F151" s="44">
        <v>2024.0</v>
      </c>
      <c r="G151" s="49">
        <f t="shared" si="18"/>
        <v>0.00168</v>
      </c>
      <c r="H151" s="49">
        <f t="shared" si="19"/>
        <v>0.0016</v>
      </c>
      <c r="I151" s="49">
        <f t="shared" si="20"/>
        <v>0.0014</v>
      </c>
      <c r="J151" s="49">
        <f t="shared" si="21"/>
        <v>0.0016</v>
      </c>
      <c r="K151" s="49">
        <f t="shared" si="22"/>
        <v>0.0014</v>
      </c>
      <c r="L151" s="49">
        <f t="shared" si="23"/>
        <v>0.001</v>
      </c>
      <c r="M151" s="49">
        <f t="shared" si="24"/>
        <v>0.00105</v>
      </c>
      <c r="N151" s="49">
        <f t="shared" si="25"/>
        <v>0.00105</v>
      </c>
      <c r="O151" s="49">
        <f t="shared" si="26"/>
        <v>0.0016</v>
      </c>
      <c r="P151" s="49">
        <f t="shared" si="27"/>
        <v>0.0021</v>
      </c>
      <c r="Q151" s="49">
        <f t="shared" si="28"/>
        <v>0.00176</v>
      </c>
      <c r="R151" s="49">
        <f t="shared" si="29"/>
        <v>0.00105</v>
      </c>
      <c r="S151" s="49">
        <f t="shared" si="30"/>
        <v>0.00105</v>
      </c>
      <c r="T151" s="49">
        <f t="shared" si="31"/>
        <v>0.0008</v>
      </c>
      <c r="U151" s="49">
        <f t="shared" si="32"/>
        <v>0.00084</v>
      </c>
      <c r="V151" s="49">
        <f t="shared" si="33"/>
        <v>0.01998</v>
      </c>
      <c r="W151" s="49">
        <f t="shared" si="34"/>
        <v>0.9446808511</v>
      </c>
      <c r="X151" s="43"/>
      <c r="Y151" s="1" t="s">
        <v>153</v>
      </c>
      <c r="Z151" s="56">
        <v>0.02029</v>
      </c>
      <c r="AA151" s="56">
        <v>0.8731</v>
      </c>
      <c r="AB151" s="56">
        <v>38.0</v>
      </c>
    </row>
    <row r="152">
      <c r="A152" s="43"/>
      <c r="B152" s="44">
        <v>39.0</v>
      </c>
      <c r="C152" s="12" t="s">
        <v>64</v>
      </c>
      <c r="D152" s="13" t="s">
        <v>18</v>
      </c>
      <c r="E152" s="44" t="s">
        <v>19</v>
      </c>
      <c r="F152" s="44">
        <v>2024.0</v>
      </c>
      <c r="G152" s="49">
        <f t="shared" si="18"/>
        <v>0.00168</v>
      </c>
      <c r="H152" s="49">
        <f t="shared" si="19"/>
        <v>0.00168</v>
      </c>
      <c r="I152" s="49">
        <f t="shared" si="20"/>
        <v>0.0014</v>
      </c>
      <c r="J152" s="49">
        <f t="shared" si="21"/>
        <v>0.00168</v>
      </c>
      <c r="K152" s="49">
        <f t="shared" si="22"/>
        <v>0.00147</v>
      </c>
      <c r="L152" s="49">
        <f t="shared" si="23"/>
        <v>0.00105</v>
      </c>
      <c r="M152" s="49">
        <f t="shared" si="24"/>
        <v>0.00105</v>
      </c>
      <c r="N152" s="49">
        <f t="shared" si="25"/>
        <v>0.001</v>
      </c>
      <c r="O152" s="49">
        <f t="shared" si="26"/>
        <v>0.0016</v>
      </c>
      <c r="P152" s="49">
        <f t="shared" si="27"/>
        <v>0.0021</v>
      </c>
      <c r="Q152" s="49">
        <f t="shared" si="28"/>
        <v>0.002</v>
      </c>
      <c r="R152" s="49">
        <f t="shared" si="29"/>
        <v>0.00105</v>
      </c>
      <c r="S152" s="49">
        <f t="shared" si="30"/>
        <v>0.001</v>
      </c>
      <c r="T152" s="49">
        <f t="shared" si="31"/>
        <v>0.00084</v>
      </c>
      <c r="U152" s="49">
        <f t="shared" si="32"/>
        <v>0.00084</v>
      </c>
      <c r="V152" s="49">
        <f t="shared" si="33"/>
        <v>0.02044</v>
      </c>
      <c r="W152" s="49">
        <f t="shared" si="34"/>
        <v>0.96643026</v>
      </c>
      <c r="X152" s="43"/>
      <c r="Y152" s="1" t="s">
        <v>154</v>
      </c>
      <c r="Z152" s="56">
        <v>0.02021</v>
      </c>
      <c r="AA152" s="56">
        <v>0.8696</v>
      </c>
      <c r="AB152" s="56">
        <v>39.0</v>
      </c>
    </row>
    <row r="153">
      <c r="A153" s="43"/>
      <c r="B153" s="44">
        <v>40.0</v>
      </c>
      <c r="C153" s="12" t="s">
        <v>65</v>
      </c>
      <c r="D153" s="4" t="s">
        <v>23</v>
      </c>
      <c r="E153" s="44" t="s">
        <v>19</v>
      </c>
      <c r="F153" s="44">
        <v>2024.0</v>
      </c>
      <c r="G153" s="49">
        <f t="shared" si="18"/>
        <v>0.00168</v>
      </c>
      <c r="H153" s="49">
        <f t="shared" si="19"/>
        <v>0.00168</v>
      </c>
      <c r="I153" s="49">
        <f t="shared" si="20"/>
        <v>0.00147</v>
      </c>
      <c r="J153" s="49">
        <f t="shared" si="21"/>
        <v>0.0016</v>
      </c>
      <c r="K153" s="49">
        <f t="shared" si="22"/>
        <v>0.00147</v>
      </c>
      <c r="L153" s="49">
        <f t="shared" si="23"/>
        <v>0.00105</v>
      </c>
      <c r="M153" s="49">
        <f t="shared" si="24"/>
        <v>0.00105</v>
      </c>
      <c r="N153" s="49">
        <f t="shared" si="25"/>
        <v>0.00105</v>
      </c>
      <c r="O153" s="49">
        <f t="shared" si="26"/>
        <v>0.00168</v>
      </c>
      <c r="P153" s="49">
        <f t="shared" si="27"/>
        <v>0.0021</v>
      </c>
      <c r="Q153" s="49">
        <f t="shared" si="28"/>
        <v>0.002</v>
      </c>
      <c r="R153" s="49">
        <f t="shared" si="29"/>
        <v>0.00105</v>
      </c>
      <c r="S153" s="49">
        <f t="shared" si="30"/>
        <v>0.00105</v>
      </c>
      <c r="T153" s="49">
        <f t="shared" si="31"/>
        <v>0.00084</v>
      </c>
      <c r="U153" s="49">
        <f t="shared" si="32"/>
        <v>0.00084</v>
      </c>
      <c r="V153" s="49">
        <f t="shared" si="33"/>
        <v>0.02061</v>
      </c>
      <c r="W153" s="49">
        <f t="shared" si="34"/>
        <v>0.9744680851</v>
      </c>
      <c r="X153" s="43"/>
      <c r="Y153" s="1" t="s">
        <v>155</v>
      </c>
      <c r="Z153" s="56">
        <v>0.01986</v>
      </c>
      <c r="AA153" s="56">
        <v>0.8546</v>
      </c>
      <c r="AB153" s="56">
        <v>40.0</v>
      </c>
    </row>
    <row r="154">
      <c r="A154" s="43"/>
      <c r="B154" s="44">
        <v>41.0</v>
      </c>
      <c r="C154" s="12" t="s">
        <v>66</v>
      </c>
      <c r="D154" s="13" t="s">
        <v>18</v>
      </c>
      <c r="E154" s="44" t="s">
        <v>19</v>
      </c>
      <c r="F154" s="44">
        <v>2024.0</v>
      </c>
      <c r="G154" s="49">
        <f t="shared" si="18"/>
        <v>0.00168</v>
      </c>
      <c r="H154" s="49">
        <f t="shared" si="19"/>
        <v>0.0016</v>
      </c>
      <c r="I154" s="49">
        <f t="shared" si="20"/>
        <v>0.0014</v>
      </c>
      <c r="J154" s="49">
        <f t="shared" si="21"/>
        <v>0.0016</v>
      </c>
      <c r="K154" s="49">
        <f t="shared" si="22"/>
        <v>0.0014</v>
      </c>
      <c r="L154" s="49">
        <f t="shared" si="23"/>
        <v>0.001</v>
      </c>
      <c r="M154" s="49">
        <f t="shared" si="24"/>
        <v>0.00105</v>
      </c>
      <c r="N154" s="49">
        <f t="shared" si="25"/>
        <v>0.00105</v>
      </c>
      <c r="O154" s="49">
        <f t="shared" si="26"/>
        <v>0.00168</v>
      </c>
      <c r="P154" s="49">
        <f t="shared" si="27"/>
        <v>0.0021</v>
      </c>
      <c r="Q154" s="49">
        <f t="shared" si="28"/>
        <v>0.00152</v>
      </c>
      <c r="R154" s="49">
        <f t="shared" si="29"/>
        <v>0.00105</v>
      </c>
      <c r="S154" s="49">
        <f t="shared" si="30"/>
        <v>0.00105</v>
      </c>
      <c r="T154" s="49">
        <f t="shared" si="31"/>
        <v>0.0008</v>
      </c>
      <c r="U154" s="49">
        <f t="shared" si="32"/>
        <v>0.00084</v>
      </c>
      <c r="V154" s="49">
        <f t="shared" si="33"/>
        <v>0.01982</v>
      </c>
      <c r="W154" s="49">
        <f t="shared" si="34"/>
        <v>0.9371158392</v>
      </c>
      <c r="X154" s="43"/>
      <c r="Y154" s="1" t="s">
        <v>156</v>
      </c>
      <c r="Z154" s="56">
        <v>0.01979</v>
      </c>
      <c r="AA154" s="56">
        <v>0.8515</v>
      </c>
      <c r="AB154" s="56">
        <v>41.0</v>
      </c>
    </row>
    <row r="155">
      <c r="A155" s="43"/>
      <c r="B155" s="44">
        <v>42.0</v>
      </c>
      <c r="C155" s="12" t="s">
        <v>67</v>
      </c>
      <c r="D155" s="4" t="s">
        <v>23</v>
      </c>
      <c r="E155" s="44" t="s">
        <v>19</v>
      </c>
      <c r="F155" s="44">
        <v>2024.0</v>
      </c>
      <c r="G155" s="49">
        <f t="shared" si="18"/>
        <v>0.00168</v>
      </c>
      <c r="H155" s="49">
        <f t="shared" si="19"/>
        <v>0.0016</v>
      </c>
      <c r="I155" s="49">
        <f t="shared" si="20"/>
        <v>0.0014</v>
      </c>
      <c r="J155" s="49">
        <f t="shared" si="21"/>
        <v>0.00168</v>
      </c>
      <c r="K155" s="49">
        <f t="shared" si="22"/>
        <v>0.0014</v>
      </c>
      <c r="L155" s="49">
        <f t="shared" si="23"/>
        <v>0.00095</v>
      </c>
      <c r="M155" s="49">
        <f t="shared" si="24"/>
        <v>0.0011</v>
      </c>
      <c r="N155" s="49">
        <f t="shared" si="25"/>
        <v>0.00105</v>
      </c>
      <c r="O155" s="49">
        <f t="shared" si="26"/>
        <v>0.00168</v>
      </c>
      <c r="P155" s="49">
        <f t="shared" si="27"/>
        <v>0.002</v>
      </c>
      <c r="Q155" s="49">
        <f t="shared" si="28"/>
        <v>0.00152</v>
      </c>
      <c r="R155" s="49">
        <f t="shared" si="29"/>
        <v>0.001</v>
      </c>
      <c r="S155" s="49">
        <f t="shared" si="30"/>
        <v>0.001</v>
      </c>
      <c r="T155" s="49">
        <f t="shared" si="31"/>
        <v>0.0008</v>
      </c>
      <c r="U155" s="49">
        <f t="shared" si="32"/>
        <v>0.00084</v>
      </c>
      <c r="V155" s="49">
        <f t="shared" si="33"/>
        <v>0.0197</v>
      </c>
      <c r="W155" s="49">
        <f t="shared" si="34"/>
        <v>0.9314420804</v>
      </c>
      <c r="X155" s="43"/>
      <c r="Y155" s="1" t="s">
        <v>157</v>
      </c>
      <c r="Z155" s="56">
        <v>0.01976</v>
      </c>
      <c r="AA155" s="56">
        <v>0.8503</v>
      </c>
      <c r="AB155" s="56">
        <v>42.0</v>
      </c>
    </row>
    <row r="156">
      <c r="A156" s="43"/>
      <c r="B156" s="44">
        <v>43.0</v>
      </c>
      <c r="C156" s="12" t="s">
        <v>68</v>
      </c>
      <c r="D156" s="13" t="s">
        <v>18</v>
      </c>
      <c r="E156" s="44" t="s">
        <v>19</v>
      </c>
      <c r="F156" s="44">
        <v>2024.0</v>
      </c>
      <c r="G156" s="49">
        <f t="shared" si="18"/>
        <v>0.00168</v>
      </c>
      <c r="H156" s="49">
        <f t="shared" si="19"/>
        <v>0.00168</v>
      </c>
      <c r="I156" s="49">
        <f t="shared" si="20"/>
        <v>0.00147</v>
      </c>
      <c r="J156" s="49">
        <f t="shared" si="21"/>
        <v>0.00168</v>
      </c>
      <c r="K156" s="49">
        <f t="shared" si="22"/>
        <v>0.00147</v>
      </c>
      <c r="L156" s="49">
        <f t="shared" si="23"/>
        <v>0.001</v>
      </c>
      <c r="M156" s="49">
        <f t="shared" si="24"/>
        <v>0.001</v>
      </c>
      <c r="N156" s="49">
        <f t="shared" si="25"/>
        <v>0.001</v>
      </c>
      <c r="O156" s="49">
        <f t="shared" si="26"/>
        <v>0.00168</v>
      </c>
      <c r="P156" s="49">
        <f t="shared" si="27"/>
        <v>0.0021</v>
      </c>
      <c r="Q156" s="49">
        <f t="shared" si="28"/>
        <v>0.00152</v>
      </c>
      <c r="R156" s="49">
        <f t="shared" si="29"/>
        <v>0.00105</v>
      </c>
      <c r="S156" s="49">
        <f t="shared" si="30"/>
        <v>0.00105</v>
      </c>
      <c r="T156" s="49">
        <f t="shared" si="31"/>
        <v>0.00084</v>
      </c>
      <c r="U156" s="49">
        <f t="shared" si="32"/>
        <v>0.00084</v>
      </c>
      <c r="V156" s="49">
        <f t="shared" si="33"/>
        <v>0.02006</v>
      </c>
      <c r="W156" s="49">
        <f t="shared" si="34"/>
        <v>0.948463357</v>
      </c>
      <c r="X156" s="43"/>
      <c r="Y156" s="1" t="s">
        <v>158</v>
      </c>
      <c r="Z156" s="56">
        <v>0.01956</v>
      </c>
      <c r="AA156" s="56">
        <v>0.8417</v>
      </c>
      <c r="AB156" s="56">
        <v>43.0</v>
      </c>
    </row>
    <row r="157">
      <c r="A157" s="43"/>
      <c r="B157" s="44">
        <v>44.0</v>
      </c>
      <c r="C157" s="12" t="s">
        <v>69</v>
      </c>
      <c r="D157" s="4" t="s">
        <v>23</v>
      </c>
      <c r="E157" s="44" t="s">
        <v>19</v>
      </c>
      <c r="F157" s="44">
        <v>2024.0</v>
      </c>
      <c r="G157" s="49">
        <f t="shared" si="18"/>
        <v>0.0016</v>
      </c>
      <c r="H157" s="49">
        <f t="shared" si="19"/>
        <v>0.0016</v>
      </c>
      <c r="I157" s="49">
        <f t="shared" si="20"/>
        <v>0.0014</v>
      </c>
      <c r="J157" s="49">
        <f t="shared" si="21"/>
        <v>0.00168</v>
      </c>
      <c r="K157" s="49">
        <f t="shared" si="22"/>
        <v>0.0014</v>
      </c>
      <c r="L157" s="49">
        <f t="shared" si="23"/>
        <v>0.00105</v>
      </c>
      <c r="M157" s="49">
        <f t="shared" si="24"/>
        <v>0.001</v>
      </c>
      <c r="N157" s="49">
        <f t="shared" si="25"/>
        <v>0.001</v>
      </c>
      <c r="O157" s="49">
        <f t="shared" si="26"/>
        <v>0.0016</v>
      </c>
      <c r="P157" s="49">
        <f t="shared" si="27"/>
        <v>0.0021</v>
      </c>
      <c r="Q157" s="49">
        <f t="shared" si="28"/>
        <v>0.00152</v>
      </c>
      <c r="R157" s="49">
        <f t="shared" si="29"/>
        <v>0.00105</v>
      </c>
      <c r="S157" s="49">
        <f t="shared" si="30"/>
        <v>0.001</v>
      </c>
      <c r="T157" s="49">
        <f t="shared" si="31"/>
        <v>0.0008</v>
      </c>
      <c r="U157" s="49">
        <f t="shared" si="32"/>
        <v>0.0008</v>
      </c>
      <c r="V157" s="49">
        <f t="shared" si="33"/>
        <v>0.0196</v>
      </c>
      <c r="W157" s="49">
        <f t="shared" si="34"/>
        <v>0.926713948</v>
      </c>
      <c r="X157" s="43"/>
      <c r="Y157" s="1" t="s">
        <v>159</v>
      </c>
      <c r="Z157" s="56">
        <v>0.01931</v>
      </c>
      <c r="AA157" s="56">
        <v>0.8309</v>
      </c>
      <c r="AB157" s="56">
        <v>44.0</v>
      </c>
    </row>
    <row r="158">
      <c r="A158" s="43"/>
      <c r="B158" s="44">
        <v>45.0</v>
      </c>
      <c r="C158" s="12" t="s">
        <v>70</v>
      </c>
      <c r="D158" s="13" t="s">
        <v>18</v>
      </c>
      <c r="E158" s="44" t="s">
        <v>19</v>
      </c>
      <c r="F158" s="44">
        <v>2023.0</v>
      </c>
      <c r="G158" s="49">
        <f t="shared" si="18"/>
        <v>0.00168</v>
      </c>
      <c r="H158" s="49">
        <f t="shared" si="19"/>
        <v>0.00168</v>
      </c>
      <c r="I158" s="49">
        <f t="shared" si="20"/>
        <v>0.00147</v>
      </c>
      <c r="J158" s="49">
        <f t="shared" si="21"/>
        <v>0.00168</v>
      </c>
      <c r="K158" s="49">
        <f t="shared" si="22"/>
        <v>0.00147</v>
      </c>
      <c r="L158" s="49">
        <f t="shared" si="23"/>
        <v>0.00105</v>
      </c>
      <c r="M158" s="49">
        <f t="shared" si="24"/>
        <v>0.0009</v>
      </c>
      <c r="N158" s="49">
        <f t="shared" si="25"/>
        <v>0.0011</v>
      </c>
      <c r="O158" s="49">
        <f t="shared" si="26"/>
        <v>0.00168</v>
      </c>
      <c r="P158" s="49">
        <f t="shared" si="27"/>
        <v>0.0021</v>
      </c>
      <c r="Q158" s="49">
        <f t="shared" si="28"/>
        <v>0.00152</v>
      </c>
      <c r="R158" s="49">
        <f t="shared" si="29"/>
        <v>0.00105</v>
      </c>
      <c r="S158" s="49">
        <f t="shared" si="30"/>
        <v>0.0011</v>
      </c>
      <c r="T158" s="49">
        <f t="shared" si="31"/>
        <v>0.00084</v>
      </c>
      <c r="U158" s="49">
        <f t="shared" si="32"/>
        <v>0.00084</v>
      </c>
      <c r="V158" s="49">
        <f t="shared" si="33"/>
        <v>0.02016</v>
      </c>
      <c r="W158" s="49">
        <f t="shared" si="34"/>
        <v>0.9531914894</v>
      </c>
      <c r="X158" s="43"/>
      <c r="Y158" s="1" t="s">
        <v>160</v>
      </c>
      <c r="Z158" s="56">
        <v>0.01923</v>
      </c>
      <c r="AA158" s="56">
        <v>0.8275</v>
      </c>
      <c r="AB158" s="56">
        <v>45.0</v>
      </c>
    </row>
    <row r="159">
      <c r="A159" s="43"/>
      <c r="B159" s="44">
        <v>46.0</v>
      </c>
      <c r="C159" s="12" t="s">
        <v>71</v>
      </c>
      <c r="D159" s="13" t="s">
        <v>23</v>
      </c>
      <c r="E159" s="44" t="s">
        <v>19</v>
      </c>
      <c r="F159" s="44">
        <v>2024.0</v>
      </c>
      <c r="G159" s="49">
        <f t="shared" si="18"/>
        <v>0.00168</v>
      </c>
      <c r="H159" s="49">
        <f t="shared" si="19"/>
        <v>0.00168</v>
      </c>
      <c r="I159" s="49">
        <f t="shared" si="20"/>
        <v>0.00147</v>
      </c>
      <c r="J159" s="49">
        <f t="shared" si="21"/>
        <v>0.00168</v>
      </c>
      <c r="K159" s="49">
        <f t="shared" si="22"/>
        <v>0.00147</v>
      </c>
      <c r="L159" s="49">
        <f t="shared" si="23"/>
        <v>0.0011</v>
      </c>
      <c r="M159" s="49">
        <f t="shared" si="24"/>
        <v>0.00105</v>
      </c>
      <c r="N159" s="49">
        <f t="shared" si="25"/>
        <v>0.001</v>
      </c>
      <c r="O159" s="49">
        <f t="shared" si="26"/>
        <v>0.00168</v>
      </c>
      <c r="P159" s="49">
        <f t="shared" si="27"/>
        <v>0.0021</v>
      </c>
      <c r="Q159" s="49">
        <f t="shared" si="28"/>
        <v>0.00152</v>
      </c>
      <c r="R159" s="49">
        <f t="shared" si="29"/>
        <v>0.00105</v>
      </c>
      <c r="S159" s="49">
        <f t="shared" si="30"/>
        <v>0.001</v>
      </c>
      <c r="T159" s="49">
        <f t="shared" si="31"/>
        <v>0.00084</v>
      </c>
      <c r="U159" s="49">
        <f t="shared" si="32"/>
        <v>0.00084</v>
      </c>
      <c r="V159" s="49">
        <f t="shared" si="33"/>
        <v>0.02016</v>
      </c>
      <c r="W159" s="49">
        <f t="shared" si="34"/>
        <v>0.9531914894</v>
      </c>
      <c r="X159" s="43"/>
      <c r="Y159" s="1" t="s">
        <v>161</v>
      </c>
      <c r="Z159" s="56">
        <v>0.01905</v>
      </c>
      <c r="AA159" s="56">
        <v>0.8197</v>
      </c>
      <c r="AB159" s="56">
        <v>46.0</v>
      </c>
    </row>
    <row r="160">
      <c r="A160" s="43"/>
      <c r="B160" s="44">
        <v>47.0</v>
      </c>
      <c r="C160" s="12" t="s">
        <v>72</v>
      </c>
      <c r="D160" s="13" t="s">
        <v>18</v>
      </c>
      <c r="E160" s="44" t="s">
        <v>19</v>
      </c>
      <c r="F160" s="44">
        <v>2024.0</v>
      </c>
      <c r="G160" s="49">
        <f t="shared" si="18"/>
        <v>0.0016</v>
      </c>
      <c r="H160" s="49">
        <f t="shared" si="19"/>
        <v>0.00168</v>
      </c>
      <c r="I160" s="49">
        <f t="shared" si="20"/>
        <v>0.00147</v>
      </c>
      <c r="J160" s="49">
        <f t="shared" si="21"/>
        <v>0.00168</v>
      </c>
      <c r="K160" s="49">
        <f t="shared" si="22"/>
        <v>0.0014</v>
      </c>
      <c r="L160" s="49">
        <f t="shared" si="23"/>
        <v>0.00105</v>
      </c>
      <c r="M160" s="49">
        <f t="shared" si="24"/>
        <v>0.001</v>
      </c>
      <c r="N160" s="49">
        <f t="shared" si="25"/>
        <v>0.00105</v>
      </c>
      <c r="O160" s="49">
        <f t="shared" si="26"/>
        <v>0.00168</v>
      </c>
      <c r="P160" s="49">
        <f t="shared" si="27"/>
        <v>0.0021</v>
      </c>
      <c r="Q160" s="49">
        <f t="shared" si="28"/>
        <v>0.00152</v>
      </c>
      <c r="R160" s="49">
        <f t="shared" si="29"/>
        <v>0.00105</v>
      </c>
      <c r="S160" s="49">
        <f t="shared" si="30"/>
        <v>0.00105</v>
      </c>
      <c r="T160" s="49">
        <f t="shared" si="31"/>
        <v>0.00084</v>
      </c>
      <c r="U160" s="49">
        <f t="shared" si="32"/>
        <v>0.00084</v>
      </c>
      <c r="V160" s="49">
        <f t="shared" si="33"/>
        <v>0.02001</v>
      </c>
      <c r="W160" s="49">
        <f t="shared" si="34"/>
        <v>0.9460992908</v>
      </c>
      <c r="X160" s="43"/>
      <c r="Y160" s="1" t="s">
        <v>162</v>
      </c>
      <c r="Z160" s="56">
        <v>0.01903</v>
      </c>
      <c r="AA160" s="56">
        <v>0.8188</v>
      </c>
      <c r="AB160" s="56">
        <v>47.0</v>
      </c>
    </row>
    <row r="161">
      <c r="A161" s="43"/>
      <c r="B161" s="44">
        <v>48.0</v>
      </c>
      <c r="C161" s="12" t="s">
        <v>73</v>
      </c>
      <c r="D161" s="4" t="s">
        <v>23</v>
      </c>
      <c r="E161" s="44" t="s">
        <v>19</v>
      </c>
      <c r="F161" s="44">
        <v>2023.0</v>
      </c>
      <c r="G161" s="49">
        <f t="shared" si="18"/>
        <v>0.00168</v>
      </c>
      <c r="H161" s="49">
        <f t="shared" si="19"/>
        <v>0.00168</v>
      </c>
      <c r="I161" s="49">
        <f t="shared" si="20"/>
        <v>0.00147</v>
      </c>
      <c r="J161" s="49">
        <f t="shared" si="21"/>
        <v>0.00168</v>
      </c>
      <c r="K161" s="49">
        <f t="shared" si="22"/>
        <v>0.00147</v>
      </c>
      <c r="L161" s="49">
        <f t="shared" si="23"/>
        <v>0.0011</v>
      </c>
      <c r="M161" s="49">
        <f t="shared" si="24"/>
        <v>0.00105</v>
      </c>
      <c r="N161" s="49">
        <f t="shared" si="25"/>
        <v>0.001</v>
      </c>
      <c r="O161" s="49">
        <f t="shared" si="26"/>
        <v>0.00168</v>
      </c>
      <c r="P161" s="49">
        <f t="shared" si="27"/>
        <v>0.0021</v>
      </c>
      <c r="Q161" s="49">
        <f t="shared" si="28"/>
        <v>0.002</v>
      </c>
      <c r="R161" s="49">
        <f t="shared" si="29"/>
        <v>0.00105</v>
      </c>
      <c r="S161" s="49">
        <f t="shared" si="30"/>
        <v>0.0011</v>
      </c>
      <c r="T161" s="49">
        <f t="shared" si="31"/>
        <v>0.00084</v>
      </c>
      <c r="U161" s="49">
        <f t="shared" si="32"/>
        <v>0.00084</v>
      </c>
      <c r="V161" s="49">
        <f t="shared" si="33"/>
        <v>0.02074</v>
      </c>
      <c r="W161" s="49">
        <f t="shared" si="34"/>
        <v>0.9806146572</v>
      </c>
      <c r="X161" s="43"/>
      <c r="Y161" s="1" t="s">
        <v>163</v>
      </c>
      <c r="Z161" s="56">
        <v>0.01859</v>
      </c>
      <c r="AA161" s="56">
        <v>0.8</v>
      </c>
      <c r="AB161" s="56">
        <v>48.0</v>
      </c>
    </row>
    <row r="162">
      <c r="A162" s="43"/>
      <c r="B162" s="44">
        <v>49.0</v>
      </c>
      <c r="C162" s="12" t="s">
        <v>74</v>
      </c>
      <c r="D162" s="13" t="s">
        <v>18</v>
      </c>
      <c r="E162" s="44" t="s">
        <v>19</v>
      </c>
      <c r="F162" s="44">
        <v>2023.0</v>
      </c>
      <c r="G162" s="49">
        <f t="shared" si="18"/>
        <v>0.00168</v>
      </c>
      <c r="H162" s="49">
        <f t="shared" si="19"/>
        <v>0.0016</v>
      </c>
      <c r="I162" s="49">
        <f t="shared" si="20"/>
        <v>0.0014</v>
      </c>
      <c r="J162" s="49">
        <f t="shared" si="21"/>
        <v>0.0016</v>
      </c>
      <c r="K162" s="49">
        <f t="shared" si="22"/>
        <v>0.00147</v>
      </c>
      <c r="L162" s="49">
        <f t="shared" si="23"/>
        <v>0.00105</v>
      </c>
      <c r="M162" s="49">
        <f t="shared" si="24"/>
        <v>0.0009</v>
      </c>
      <c r="N162" s="49">
        <f t="shared" si="25"/>
        <v>0.0011</v>
      </c>
      <c r="O162" s="49">
        <f t="shared" si="26"/>
        <v>0.0016</v>
      </c>
      <c r="P162" s="49">
        <f t="shared" si="27"/>
        <v>0.002</v>
      </c>
      <c r="Q162" s="49">
        <f t="shared" si="28"/>
        <v>0.00152</v>
      </c>
      <c r="R162" s="49">
        <f t="shared" si="29"/>
        <v>0.001</v>
      </c>
      <c r="S162" s="49">
        <f t="shared" si="30"/>
        <v>0.001</v>
      </c>
      <c r="T162" s="49">
        <f t="shared" si="31"/>
        <v>0.00084</v>
      </c>
      <c r="U162" s="49">
        <f t="shared" si="32"/>
        <v>0.00084</v>
      </c>
      <c r="V162" s="49">
        <f t="shared" si="33"/>
        <v>0.0196</v>
      </c>
      <c r="W162" s="49">
        <f t="shared" si="34"/>
        <v>0.926713948</v>
      </c>
      <c r="X162" s="43"/>
      <c r="Y162" s="43"/>
      <c r="Z162" s="43"/>
      <c r="AA162" s="43"/>
      <c r="AB162" s="43"/>
    </row>
    <row r="163">
      <c r="A163" s="43"/>
      <c r="B163" s="44"/>
      <c r="C163" s="48"/>
      <c r="D163" s="44"/>
      <c r="E163" s="44"/>
      <c r="F163" s="44"/>
      <c r="G163" s="49"/>
      <c r="H163" s="49"/>
      <c r="I163" s="49"/>
      <c r="J163" s="49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9"/>
      <c r="W163" s="49"/>
      <c r="X163" s="43"/>
      <c r="Y163" s="43"/>
      <c r="Z163" s="43"/>
      <c r="AA163" s="43"/>
      <c r="AB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>
      <c r="A165" s="43"/>
      <c r="B165" s="45" t="s">
        <v>2</v>
      </c>
      <c r="C165" s="45" t="s">
        <v>3</v>
      </c>
      <c r="D165" s="55" t="s">
        <v>108</v>
      </c>
      <c r="E165" s="55" t="s">
        <v>109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>
      <c r="A166" s="43"/>
      <c r="B166" s="44"/>
      <c r="C166" s="48" t="s">
        <v>86</v>
      </c>
      <c r="D166" s="49">
        <v>0.021150000000000002</v>
      </c>
      <c r="E166" s="49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>
      <c r="A167" s="43"/>
      <c r="B167" s="44">
        <v>1.0</v>
      </c>
      <c r="C167" s="12" t="s">
        <v>17</v>
      </c>
      <c r="D167" s="49">
        <v>0.01958</v>
      </c>
      <c r="E167" s="49">
        <v>0.9257683215130023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>
      <c r="A168" s="43"/>
      <c r="B168" s="44">
        <v>2.0</v>
      </c>
      <c r="C168" s="12" t="s">
        <v>20</v>
      </c>
      <c r="D168" s="49">
        <v>0.018889999999999997</v>
      </c>
      <c r="E168" s="49">
        <v>0.8931442080378248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>
      <c r="A169" s="43"/>
      <c r="B169" s="44">
        <v>3.0</v>
      </c>
      <c r="C169" s="12" t="s">
        <v>22</v>
      </c>
      <c r="D169" s="49">
        <v>0.020659999999999998</v>
      </c>
      <c r="E169" s="49">
        <v>0.9768321513002362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>
      <c r="A170" s="43"/>
      <c r="B170" s="44">
        <v>4.0</v>
      </c>
      <c r="C170" s="12" t="s">
        <v>25</v>
      </c>
      <c r="D170" s="49">
        <v>0.019700000000000002</v>
      </c>
      <c r="E170" s="49">
        <v>0.9314420803782506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>
      <c r="A171" s="43"/>
      <c r="B171" s="44">
        <v>5.0</v>
      </c>
      <c r="C171" s="12" t="s">
        <v>27</v>
      </c>
      <c r="D171" s="49">
        <v>0.01952</v>
      </c>
      <c r="E171" s="49">
        <v>0.9229314420803781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>
      <c r="A172" s="43"/>
      <c r="B172" s="44">
        <v>6.0</v>
      </c>
      <c r="C172" s="12" t="s">
        <v>28</v>
      </c>
      <c r="D172" s="49">
        <v>0.020210000000000002</v>
      </c>
      <c r="E172" s="49">
        <v>0.9555555555555556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>
      <c r="A173" s="43"/>
      <c r="B173" s="44">
        <v>7.0</v>
      </c>
      <c r="C173" s="12" t="s">
        <v>30</v>
      </c>
      <c r="D173" s="49">
        <v>0.020210000000000002</v>
      </c>
      <c r="E173" s="49">
        <v>0.9555555555555556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>
      <c r="A174" s="43"/>
      <c r="B174" s="44">
        <v>8.0</v>
      </c>
      <c r="C174" s="12" t="s">
        <v>32</v>
      </c>
      <c r="D174" s="49">
        <v>0.019100000000000002</v>
      </c>
      <c r="E174" s="49">
        <v>0.9030732860520094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>
      <c r="A175" s="43"/>
      <c r="B175" s="44">
        <v>9.0</v>
      </c>
      <c r="C175" s="12" t="s">
        <v>33</v>
      </c>
      <c r="D175" s="49">
        <v>0.019910000000000004</v>
      </c>
      <c r="E175" s="49">
        <v>0.9413711583924351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>
      <c r="A176" s="43"/>
      <c r="B176" s="44">
        <v>10.0</v>
      </c>
      <c r="C176" s="12" t="s">
        <v>34</v>
      </c>
      <c r="D176" s="49">
        <v>0.019469999999999998</v>
      </c>
      <c r="E176" s="49">
        <v>0.9205673758865246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>
      <c r="A177" s="43"/>
      <c r="B177" s="44">
        <v>11.0</v>
      </c>
      <c r="C177" s="12" t="s">
        <v>35</v>
      </c>
      <c r="D177" s="49">
        <v>0.01988</v>
      </c>
      <c r="E177" s="49">
        <v>0.9399527186761227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>
      <c r="A178" s="43"/>
      <c r="B178" s="44">
        <v>12.0</v>
      </c>
      <c r="C178" s="12" t="s">
        <v>36</v>
      </c>
      <c r="D178" s="49">
        <v>0.02056</v>
      </c>
      <c r="E178" s="49">
        <v>0.9721040189125294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>
      <c r="A179" s="43"/>
      <c r="B179" s="44">
        <v>13.0</v>
      </c>
      <c r="C179" s="12" t="s">
        <v>37</v>
      </c>
      <c r="D179" s="49">
        <v>0.018690000000000002</v>
      </c>
      <c r="E179" s="49">
        <v>0.8836879432624113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>
      <c r="A180" s="43"/>
      <c r="B180" s="44">
        <v>14.0</v>
      </c>
      <c r="C180" s="12" t="s">
        <v>39</v>
      </c>
      <c r="D180" s="49">
        <v>0.019700000000000002</v>
      </c>
      <c r="E180" s="49">
        <v>0.9314420803782506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>
      <c r="A181" s="43"/>
      <c r="B181" s="44">
        <v>15.0</v>
      </c>
      <c r="C181" s="12" t="s">
        <v>40</v>
      </c>
      <c r="D181" s="49">
        <v>0.020090000000000004</v>
      </c>
      <c r="E181" s="49">
        <v>0.9498817966903074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>
      <c r="A182" s="43"/>
      <c r="B182" s="44">
        <v>16.0</v>
      </c>
      <c r="C182" s="12" t="s">
        <v>41</v>
      </c>
      <c r="D182" s="49">
        <v>0.019500000000000003</v>
      </c>
      <c r="E182" s="49">
        <v>0.921985815602837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>
      <c r="A183" s="43"/>
      <c r="B183" s="44">
        <v>17.0</v>
      </c>
      <c r="C183" s="12" t="s">
        <v>42</v>
      </c>
      <c r="D183" s="49">
        <v>0.019379999999999998</v>
      </c>
      <c r="E183" s="49">
        <v>0.9163120567375884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>
      <c r="A184" s="43"/>
      <c r="B184" s="44">
        <v>18.0</v>
      </c>
      <c r="C184" s="12" t="s">
        <v>43</v>
      </c>
      <c r="D184" s="49">
        <v>0.019820000000000008</v>
      </c>
      <c r="E184" s="49">
        <v>0.9371158392434991</v>
      </c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>
      <c r="A185" s="43"/>
      <c r="B185" s="44">
        <v>19.0</v>
      </c>
      <c r="C185" s="12" t="s">
        <v>44</v>
      </c>
      <c r="D185" s="49">
        <v>0.019170000000000003</v>
      </c>
      <c r="E185" s="49">
        <v>0.9063829787234043</v>
      </c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>
      <c r="A186" s="43"/>
      <c r="B186" s="44">
        <v>20.0</v>
      </c>
      <c r="C186" s="12" t="s">
        <v>45</v>
      </c>
      <c r="D186" s="49">
        <v>0.01999</v>
      </c>
      <c r="E186" s="49">
        <v>0.9451536643026004</v>
      </c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>
      <c r="A187" s="43"/>
      <c r="B187" s="44">
        <v>21.0</v>
      </c>
      <c r="C187" s="12" t="s">
        <v>46</v>
      </c>
      <c r="D187" s="49">
        <v>0.019690000000000003</v>
      </c>
      <c r="E187" s="49">
        <v>0.9309692671394799</v>
      </c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>
      <c r="A188" s="43"/>
      <c r="B188" s="44">
        <v>22.0</v>
      </c>
      <c r="C188" s="12" t="s">
        <v>47</v>
      </c>
      <c r="D188" s="49">
        <v>0.018660000000000003</v>
      </c>
      <c r="E188" s="49">
        <v>0.8822695035460993</v>
      </c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>
      <c r="A189" s="43"/>
      <c r="B189" s="44">
        <v>23.0</v>
      </c>
      <c r="C189" s="12" t="s">
        <v>48</v>
      </c>
      <c r="D189" s="49">
        <v>0.02001</v>
      </c>
      <c r="E189" s="49">
        <v>0.9460992907801418</v>
      </c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>
      <c r="A190" s="43"/>
      <c r="B190" s="44">
        <v>24.0</v>
      </c>
      <c r="C190" s="12" t="s">
        <v>49</v>
      </c>
      <c r="D190" s="49">
        <v>0.020030000000000003</v>
      </c>
      <c r="E190" s="49">
        <v>0.9470449172576832</v>
      </c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>
      <c r="A191" s="43"/>
      <c r="B191" s="44">
        <v>25.0</v>
      </c>
      <c r="C191" s="12" t="s">
        <v>50</v>
      </c>
      <c r="D191" s="49">
        <v>0.019830000000000004</v>
      </c>
      <c r="E191" s="49">
        <v>0.9375886524822696</v>
      </c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>
      <c r="A192" s="43"/>
      <c r="B192" s="44">
        <v>26.0</v>
      </c>
      <c r="C192" s="12" t="s">
        <v>51</v>
      </c>
      <c r="D192" s="49">
        <v>0.020680000000000004</v>
      </c>
      <c r="E192" s="49">
        <v>0.9777777777777779</v>
      </c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>
      <c r="A193" s="43"/>
      <c r="B193" s="44">
        <v>27.0</v>
      </c>
      <c r="C193" s="12" t="s">
        <v>52</v>
      </c>
      <c r="D193" s="49">
        <v>0.0205</v>
      </c>
      <c r="E193" s="49">
        <v>0.9692671394799054</v>
      </c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>
      <c r="A194" s="43"/>
      <c r="B194" s="44">
        <v>28.0</v>
      </c>
      <c r="C194" s="12" t="s">
        <v>53</v>
      </c>
      <c r="D194" s="49">
        <v>0.0198</v>
      </c>
      <c r="E194" s="49">
        <v>0.9361702127659575</v>
      </c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>
      <c r="A195" s="43"/>
      <c r="B195" s="44">
        <v>29.0</v>
      </c>
      <c r="C195" s="12" t="s">
        <v>54</v>
      </c>
      <c r="D195" s="49">
        <v>0.01937</v>
      </c>
      <c r="E195" s="49">
        <v>0.9158392434988178</v>
      </c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>
      <c r="A196" s="43"/>
      <c r="B196" s="44">
        <v>30.0</v>
      </c>
      <c r="C196" s="12" t="s">
        <v>55</v>
      </c>
      <c r="D196" s="49">
        <v>0.01975</v>
      </c>
      <c r="E196" s="49">
        <v>0.9338061465721039</v>
      </c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>
      <c r="A197" s="43"/>
      <c r="B197" s="44">
        <v>31.0</v>
      </c>
      <c r="C197" s="12" t="s">
        <v>56</v>
      </c>
      <c r="D197" s="49">
        <v>0.01918</v>
      </c>
      <c r="E197" s="49">
        <v>0.9068557919621748</v>
      </c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>
      <c r="A198" s="43"/>
      <c r="B198" s="44">
        <v>32.0</v>
      </c>
      <c r="C198" s="12" t="s">
        <v>57</v>
      </c>
      <c r="D198" s="49">
        <v>0.01958</v>
      </c>
      <c r="E198" s="49">
        <v>0.9257683215130023</v>
      </c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>
      <c r="A199" s="43"/>
      <c r="B199" s="44">
        <v>33.0</v>
      </c>
      <c r="C199" s="12" t="s">
        <v>58</v>
      </c>
      <c r="D199" s="49">
        <v>0.02014</v>
      </c>
      <c r="E199" s="49">
        <v>0.9522458628841607</v>
      </c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>
      <c r="A200" s="43"/>
      <c r="B200" s="44">
        <v>34.0</v>
      </c>
      <c r="C200" s="12" t="s">
        <v>59</v>
      </c>
      <c r="D200" s="49">
        <v>0.019649999999999997</v>
      </c>
      <c r="E200" s="49">
        <v>0.929078014184397</v>
      </c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>
      <c r="A201" s="43"/>
      <c r="B201" s="44">
        <v>35.0</v>
      </c>
      <c r="C201" s="12" t="s">
        <v>60</v>
      </c>
      <c r="D201" s="49">
        <v>0.020410000000000005</v>
      </c>
      <c r="E201" s="49">
        <v>0.9650118203309694</v>
      </c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>
      <c r="A202" s="43"/>
      <c r="B202" s="44">
        <v>36.0</v>
      </c>
      <c r="C202" s="12" t="s">
        <v>61</v>
      </c>
      <c r="D202" s="49">
        <v>0.01941</v>
      </c>
      <c r="E202" s="49">
        <v>0.9177304964539006</v>
      </c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>
      <c r="A203" s="43"/>
      <c r="B203" s="44">
        <v>37.0</v>
      </c>
      <c r="C203" s="12" t="s">
        <v>62</v>
      </c>
      <c r="D203" s="49">
        <v>0.01911</v>
      </c>
      <c r="E203" s="49">
        <v>0.90354609929078</v>
      </c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>
      <c r="A204" s="43"/>
      <c r="B204" s="44">
        <v>38.0</v>
      </c>
      <c r="C204" s="12" t="s">
        <v>63</v>
      </c>
      <c r="D204" s="49">
        <v>0.01998</v>
      </c>
      <c r="E204" s="49">
        <v>0.9446808510638297</v>
      </c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>
      <c r="A205" s="43"/>
      <c r="B205" s="44">
        <v>39.0</v>
      </c>
      <c r="C205" s="12" t="s">
        <v>64</v>
      </c>
      <c r="D205" s="49">
        <v>0.020440000000000003</v>
      </c>
      <c r="E205" s="49">
        <v>0.9664302600472814</v>
      </c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>
      <c r="A206" s="43"/>
      <c r="B206" s="44">
        <v>40.0</v>
      </c>
      <c r="C206" s="12" t="s">
        <v>65</v>
      </c>
      <c r="D206" s="49">
        <v>0.020610000000000003</v>
      </c>
      <c r="E206" s="49">
        <v>0.974468085106383</v>
      </c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>
      <c r="A207" s="43"/>
      <c r="B207" s="44">
        <v>41.0</v>
      </c>
      <c r="C207" s="12" t="s">
        <v>66</v>
      </c>
      <c r="D207" s="49">
        <v>0.01982</v>
      </c>
      <c r="E207" s="49">
        <v>0.9371158392434987</v>
      </c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>
      <c r="A208" s="43"/>
      <c r="B208" s="44">
        <v>42.0</v>
      </c>
      <c r="C208" s="12" t="s">
        <v>67</v>
      </c>
      <c r="D208" s="49">
        <v>0.019700000000000002</v>
      </c>
      <c r="E208" s="49">
        <v>0.9314420803782506</v>
      </c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>
      <c r="A209" s="43"/>
      <c r="B209" s="44">
        <v>43.0</v>
      </c>
      <c r="C209" s="12" t="s">
        <v>68</v>
      </c>
      <c r="D209" s="49">
        <v>0.020060000000000005</v>
      </c>
      <c r="E209" s="49">
        <v>0.9484633569739954</v>
      </c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>
      <c r="A210" s="43"/>
      <c r="B210" s="44">
        <v>44.0</v>
      </c>
      <c r="C210" s="12" t="s">
        <v>69</v>
      </c>
      <c r="D210" s="49">
        <v>0.0196</v>
      </c>
      <c r="E210" s="49">
        <v>0.9267139479905436</v>
      </c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>
      <c r="A211" s="43"/>
      <c r="B211" s="44">
        <v>45.0</v>
      </c>
      <c r="C211" s="12" t="s">
        <v>70</v>
      </c>
      <c r="D211" s="49">
        <v>0.020160000000000004</v>
      </c>
      <c r="E211" s="49">
        <v>0.9531914893617023</v>
      </c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>
      <c r="A212" s="43"/>
      <c r="B212" s="44">
        <v>46.0</v>
      </c>
      <c r="C212" s="12" t="s">
        <v>71</v>
      </c>
      <c r="D212" s="49">
        <v>0.020160000000000004</v>
      </c>
      <c r="E212" s="49">
        <v>0.9531914893617023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>
      <c r="A213" s="43"/>
      <c r="B213" s="44">
        <v>47.0</v>
      </c>
      <c r="C213" s="12" t="s">
        <v>72</v>
      </c>
      <c r="D213" s="49">
        <v>0.02001</v>
      </c>
      <c r="E213" s="49">
        <v>0.9460992907801418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>
      <c r="A214" s="43"/>
      <c r="B214" s="44">
        <v>48.0</v>
      </c>
      <c r="C214" s="12" t="s">
        <v>73</v>
      </c>
      <c r="D214" s="49">
        <v>0.02074</v>
      </c>
      <c r="E214" s="49">
        <v>0.9806146572104019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>
      <c r="A215" s="43"/>
      <c r="B215" s="44">
        <v>49.0</v>
      </c>
      <c r="C215" s="12" t="s">
        <v>74</v>
      </c>
      <c r="D215" s="49">
        <v>0.019600000000000003</v>
      </c>
      <c r="E215" s="49">
        <v>0.9267139479905437</v>
      </c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</row>
    <row r="1006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</row>
    <row r="1007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</row>
  </sheetData>
  <mergeCells count="1">
    <mergeCell ref="B53:F53"/>
  </mergeCells>
  <drawing r:id="rId1"/>
</worksheet>
</file>